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"/>
    <sheet r:id="rId2" sheetId="2" name="2"/>
    <sheet r:id="rId3" sheetId="3" name="3"/>
    <sheet r:id="rId4" sheetId="4" name="4"/>
    <sheet r:id="rId5" sheetId="5" name="5"/>
    <sheet r:id="rId6" sheetId="6" name="6"/>
    <sheet r:id="rId7" sheetId="7" name="8"/>
    <sheet r:id="rId8" sheetId="8" name="7"/>
    <sheet r:id="rId9" sheetId="9" name="9"/>
    <sheet r:id="rId10" sheetId="10" name="10"/>
    <sheet r:id="rId11" sheetId="11" name="11"/>
    <sheet r:id="rId12" sheetId="12" name="12"/>
    <sheet r:id="rId13" sheetId="13" name="13"/>
    <sheet r:id="rId14" sheetId="14" name="14"/>
    <sheet r:id="rId15" sheetId="15" name="15"/>
    <sheet r:id="rId16" sheetId="16" name="16"/>
    <sheet r:id="rId17" sheetId="17" name="17"/>
    <sheet r:id="rId18" sheetId="18" name="19"/>
    <sheet r:id="rId19" sheetId="19" name="18"/>
    <sheet r:id="rId20" sheetId="20" name="20"/>
    <sheet r:id="rId21" sheetId="21" name="21"/>
    <sheet r:id="rId22" sheetId="22" name="22"/>
    <sheet r:id="rId23" sheetId="23" name="23"/>
    <sheet r:id="rId24" sheetId="24" name="24"/>
    <sheet r:id="rId25" sheetId="25" name="25"/>
    <sheet r:id="rId26" sheetId="26" name="26"/>
    <sheet r:id="rId27" sheetId="27" name="27"/>
    <sheet r:id="rId28" sheetId="28" name="28"/>
    <sheet r:id="rId29" sheetId="29" name="29"/>
    <sheet r:id="rId30" sheetId="30" name="30"/>
    <sheet r:id="rId31" sheetId="31" name="기본"/>
    <sheet r:id="rId32" sheetId="32" name="세척기사"/>
    <sheet r:id="rId33" sheetId="33" name="일요일"/>
    <sheet r:id="rId34" sheetId="34" name="참조"/>
  </sheets>
  <definedNames>
    <definedName name="년">참조!$C$3</definedName>
    <definedName name="월">참조!$C$4</definedName>
  </definedNames>
  <calcPr fullCalcOnLoad="1"/>
</workbook>
</file>

<file path=xl/sharedStrings.xml><?xml version="1.0" encoding="utf-8"?>
<sst xmlns="http://schemas.openxmlformats.org/spreadsheetml/2006/main" count="8038" uniqueCount="458">
  <si>
    <t>※ 아래 년도와 월은 각 시트의 상단에 있는 날짜에 사용됩니다. 변경시 각 시트의 년도와 월이 모두 변합니다</t>
  </si>
  <si>
    <t>년도</t>
  </si>
  <si>
    <t>월</t>
  </si>
  <si>
    <t>금일 매출</t>
  </si>
  <si>
    <t>아무것도 잡지마세요</t>
  </si>
  <si>
    <t>수당률</t>
  </si>
  <si>
    <t>NO.</t>
  </si>
  <si>
    <t>날짜/예약시간</t>
  </si>
  <si>
    <t>성함</t>
  </si>
  <si>
    <t>연락처</t>
  </si>
  <si>
    <t>주소/주요사항</t>
  </si>
  <si>
    <t>에어컨종류/개수/일반&amp;종합</t>
  </si>
  <si>
    <t>계약금</t>
  </si>
  <si>
    <t>잔금</t>
  </si>
  <si>
    <t>합계</t>
  </si>
  <si>
    <t>수당</t>
  </si>
  <si>
    <t>순이익</t>
  </si>
  <si>
    <t>수입</t>
  </si>
  <si>
    <t>지출</t>
  </si>
  <si>
    <t>계약</t>
  </si>
  <si>
    <t>기타</t>
  </si>
  <si>
    <t>수당비</t>
  </si>
  <si>
    <t>광고비</t>
  </si>
  <si>
    <r>
      <t/>
    </r>
    <r>
      <rPr>
        <b/>
        <sz val="11"/>
        <color rgb="FFff0000"/>
        <rFont val="맑은 고딕"/>
        <family val="2"/>
      </rPr>
      <t>[인천시]</t>
    </r>
    <r>
      <rPr>
        <b/>
        <sz val="14"/>
        <color rgb="FF000000"/>
        <rFont val="맑은 고딕"/>
        <family val="2"/>
      </rPr>
      <t xml:space="preserve"> 김의덕 기사님</t>
    </r>
    <r>
      <rPr>
        <b/>
        <sz val="11"/>
        <color rgb="FFff0000"/>
        <rFont val="맑은 고딕"/>
        <family val="2"/>
      </rPr>
      <t xml:space="preserve">  [일정 여유롭게 / 벽/원/포/스탠드 사무실위주/고층사다리]</t>
    </r>
  </si>
  <si>
    <t>금주 매출</t>
  </si>
  <si>
    <t>고층사다리</t>
  </si>
  <si>
    <r>
      <t/>
    </r>
    <r>
      <rPr>
        <b/>
        <sz val="11"/>
        <color rgb="FFff0000"/>
        <rFont val="맑은 고딕"/>
        <family val="2"/>
      </rPr>
      <t xml:space="preserve">[인천 서구/격주토요휴무] </t>
    </r>
    <r>
      <rPr>
        <b/>
        <sz val="14"/>
        <color rgb="FF000000"/>
        <rFont val="맑은 고딕"/>
        <family val="2"/>
      </rPr>
      <t>신국관 기사님</t>
    </r>
    <r>
      <rPr>
        <b/>
        <sz val="11"/>
        <color rgb="FFff0000"/>
        <rFont val="맑은 고딕"/>
        <family val="2"/>
      </rPr>
      <t xml:space="preserve"> [벽/원/포]</t>
    </r>
  </si>
  <si>
    <t xml:space="preserve">10시부터 일정 잡아주세요 </t>
  </si>
  <si>
    <r>
      <t/>
    </r>
    <r>
      <rPr>
        <b/>
        <sz val="11"/>
        <color rgb="FFff0000"/>
        <rFont val="맑은 고딕"/>
        <family val="2"/>
      </rPr>
      <t>[김포시]</t>
    </r>
    <r>
      <rPr>
        <b/>
        <sz val="14"/>
        <color rgb="FF000000"/>
        <rFont val="맑은 고딕"/>
        <family val="2"/>
      </rPr>
      <t xml:space="preserve"> 전상현 기사님</t>
    </r>
    <r>
      <rPr>
        <b/>
        <sz val="11"/>
        <color rgb="FFff0000"/>
        <rFont val="맑은 고딕"/>
        <family val="2"/>
      </rPr>
      <t xml:space="preserve"> [일정 여유롭게 / 벽/원/스탠드 사무실위주/통]</t>
    </r>
  </si>
  <si>
    <t>포웨이 3시간</t>
  </si>
  <si>
    <r>
      <t>부천 중동 기사님</t>
    </r>
    <r>
      <rPr>
        <b/>
        <sz val="11"/>
        <color rgb="FFff0000"/>
        <rFont val="맑은 고딕"/>
        <family val="2"/>
      </rPr>
      <t xml:space="preserve"> [일정 여유롭게 / 벽/원/스탠드 사무실위주]</t>
    </r>
  </si>
  <si>
    <r>
      <t xml:space="preserve">[부천] </t>
    </r>
    <r>
      <rPr>
        <b/>
        <sz val="14"/>
        <color rgb="FF000000"/>
        <rFont val="Malgun Gothic"/>
        <family val="2"/>
      </rPr>
      <t xml:space="preserve">김민구 기사님 </t>
    </r>
    <r>
      <rPr>
        <b/>
        <sz val="11"/>
        <color rgb="FFff0000"/>
        <rFont val="Malgun Gothic"/>
        <family val="2"/>
      </rPr>
      <t>[ 벽 / 원 / 포 / 스탠드 사무실 위주 ]</t>
    </r>
  </si>
  <si>
    <r>
      <t/>
    </r>
    <r>
      <rPr>
        <b/>
        <sz val="11"/>
        <color rgb="FFff0000"/>
        <rFont val="맑은 고딕"/>
        <family val="2"/>
      </rPr>
      <t xml:space="preserve">[김포] </t>
    </r>
    <r>
      <rPr>
        <b/>
        <sz val="14"/>
        <color rgb="FF000000"/>
        <rFont val="맑은 고딕"/>
        <family val="2"/>
      </rPr>
      <t xml:space="preserve">구형모 기사님 </t>
    </r>
    <r>
      <rPr>
        <b/>
        <sz val="11"/>
        <color rgb="FFff0000"/>
        <rFont val="맑은 고딕"/>
        <family val="2"/>
      </rPr>
      <t xml:space="preserve"> [ 벽 / 원 / 포 / 스탠드 사무실 위주 ]</t>
    </r>
  </si>
  <si>
    <r>
      <t xml:space="preserve">[김포] </t>
    </r>
    <r>
      <rPr>
        <b/>
        <sz val="14"/>
        <color rgb="FF000000"/>
        <rFont val="Malgun Gothic"/>
        <family val="2"/>
      </rPr>
      <t xml:space="preserve">이재원 기사님  </t>
    </r>
    <r>
      <rPr>
        <b/>
        <sz val="11"/>
        <color rgb="FFff0000"/>
        <rFont val="Malgun Gothic"/>
        <family val="2"/>
      </rPr>
      <t>[ 벽 / 원 / 포 / 스탠드 사무실 위주 ]</t>
    </r>
  </si>
  <si>
    <r>
      <t xml:space="preserve">[인천 계양/토 휴무/일 근무] </t>
    </r>
    <r>
      <rPr>
        <b/>
        <sz val="14"/>
        <color rgb="FF000000"/>
        <rFont val="Malgun Gothic"/>
        <family val="2"/>
      </rPr>
      <t xml:space="preserve">선근 기사님 </t>
    </r>
    <r>
      <rPr>
        <b/>
        <sz val="11"/>
        <color rgb="FFff0000"/>
        <rFont val="Malgun Gothic"/>
        <family val="2"/>
      </rPr>
      <t xml:space="preserve"> [ 벽 / 원 / 포 ]</t>
    </r>
  </si>
  <si>
    <r>
      <t xml:space="preserve">[마포구/화토일 휴무] </t>
    </r>
    <r>
      <rPr>
        <b/>
        <sz val="14"/>
        <color theme="1"/>
        <rFont val="맑은 고딕"/>
        <family val="2"/>
      </rPr>
      <t>지니 기사님</t>
    </r>
    <r>
      <rPr>
        <b/>
        <sz val="11"/>
        <color rgb="FFff0000"/>
        <rFont val="맑은 고딕"/>
        <family val="2"/>
      </rPr>
      <t xml:space="preserve"> [벽걸이만 하루 4개]</t>
    </r>
  </si>
  <si>
    <t>벽걸이 대수가 4개여야 합니다 (3시 마지막)</t>
  </si>
  <si>
    <r>
      <t/>
    </r>
    <r>
      <rPr>
        <b/>
        <sz val="11"/>
        <color rgb="FFff0000"/>
        <rFont val="맑은 고딕"/>
        <family val="2"/>
      </rPr>
      <t xml:space="preserve">[매주 토요일 1시부터 가능 / 김포시] </t>
    </r>
    <r>
      <rPr>
        <b/>
        <sz val="14"/>
        <color rgb="FF000000"/>
        <rFont val="맑은 고딕"/>
        <family val="2"/>
      </rPr>
      <t xml:space="preserve">은여울 기사님 </t>
    </r>
    <r>
      <rPr>
        <b/>
        <sz val="11"/>
        <color rgb="FFff0000"/>
        <rFont val="맑은 고딕"/>
        <family val="2"/>
      </rPr>
      <t>[벽/원/포]</t>
    </r>
  </si>
  <si>
    <r>
      <t/>
    </r>
    <r>
      <rPr>
        <b/>
        <sz val="11"/>
        <color rgb="FFff0000"/>
        <rFont val="맑은 고딕"/>
        <family val="2"/>
      </rPr>
      <t>[부천시/월요휴무]</t>
    </r>
    <r>
      <rPr>
        <b/>
        <sz val="14"/>
        <color rgb="FF000000"/>
        <rFont val="맑은 고딕"/>
        <family val="2"/>
      </rPr>
      <t xml:space="preserve"> 온상현 기사님 </t>
    </r>
    <r>
      <rPr>
        <b/>
        <sz val="11"/>
        <color rgb="FFff0000"/>
        <rFont val="맑은 고딕"/>
        <family val="2"/>
      </rPr>
      <t>[에어컨 모두 가능/덕트/오브제도]</t>
    </r>
  </si>
  <si>
    <r>
      <t/>
    </r>
    <r>
      <rPr>
        <b/>
        <sz val="11"/>
        <color rgb="FFff0000"/>
        <rFont val="맑은 고딕"/>
        <family val="2"/>
      </rPr>
      <t>[관악구/2,4째주일요휴무]</t>
    </r>
    <r>
      <rPr>
        <b/>
        <sz val="14"/>
        <color rgb="FF000000"/>
        <rFont val="맑은 고딕"/>
        <family val="2"/>
      </rPr>
      <t xml:space="preserve"> 홍천 기사님</t>
    </r>
    <r>
      <rPr>
        <b/>
        <sz val="11"/>
        <color rgb="FFff0000"/>
        <rFont val="맑은 고딕"/>
        <family val="2"/>
      </rPr>
      <t xml:space="preserve"> [서울 쪽 모두 가능 / 삼성에서 일했었음 4~5개]</t>
    </r>
  </si>
  <si>
    <t>원형360가능(높으면x)</t>
  </si>
  <si>
    <r>
      <t/>
    </r>
    <r>
      <rPr>
        <b/>
        <sz val="11"/>
        <color rgb="FFff0000"/>
        <rFont val="맑은 고딕"/>
        <family val="2"/>
      </rPr>
      <t xml:space="preserve">[금천구/격주토요휴무] </t>
    </r>
    <r>
      <rPr>
        <b/>
        <sz val="14"/>
        <color rgb="FF000000"/>
        <rFont val="맑은 고딕"/>
        <family val="2"/>
      </rPr>
      <t>종진 기사님</t>
    </r>
    <r>
      <rPr>
        <b/>
        <sz val="11"/>
        <color rgb="FFff0000"/>
        <rFont val="맑은 고딕"/>
        <family val="2"/>
      </rPr>
      <t xml:space="preserve"> [벽/원/포/위너/연아2구/무풍2구/듀얼/손연재만 가능/통/드/빌] *서랍장벽걸이 가능</t>
    </r>
  </si>
  <si>
    <t>원형360가능</t>
  </si>
  <si>
    <r>
      <t/>
    </r>
    <r>
      <rPr>
        <b/>
        <sz val="11"/>
        <color rgb="FFff0000"/>
        <rFont val="맑은 고딕"/>
        <family val="2"/>
      </rPr>
      <t>[부천시]</t>
    </r>
    <r>
      <rPr>
        <b/>
        <sz val="14"/>
        <color rgb="FF000000"/>
        <rFont val="맑은 고딕"/>
        <family val="2"/>
      </rPr>
      <t xml:space="preserve"> 태식 기사님 </t>
    </r>
    <r>
      <rPr>
        <b/>
        <sz val="11"/>
        <color rgb="FFff0000"/>
        <rFont val="맑은 고딕"/>
        <family val="2"/>
      </rPr>
      <t>[에어컨 모두 가능]</t>
    </r>
  </si>
  <si>
    <t>10시부터 일정 잡아주세요 (가까우면 상관없음)</t>
  </si>
  <si>
    <r>
      <t xml:space="preserve">[마포구] </t>
    </r>
    <r>
      <rPr>
        <b/>
        <sz val="14"/>
        <color rgb="FF000000"/>
        <rFont val="맑은 고딕"/>
        <family val="2"/>
      </rPr>
      <t>박기범 기사님</t>
    </r>
    <r>
      <rPr>
        <b/>
        <sz val="11"/>
        <color rgb="FFff0000"/>
        <rFont val="맑은 고딕"/>
        <family val="2"/>
      </rPr>
      <t xml:space="preserve"> [마포 은평 서대문 양천 강서 영등포 일산 파주 부천 부평 인천서구 김포시/벽/스/빌]</t>
    </r>
  </si>
  <si>
    <t>빌트인 가능</t>
  </si>
  <si>
    <t xml:space="preserve"> </t>
  </si>
  <si>
    <t>이름</t>
  </si>
  <si>
    <t>거주지</t>
  </si>
  <si>
    <t>세탁기</t>
  </si>
  <si>
    <t>에어컨</t>
  </si>
  <si>
    <t>비고</t>
  </si>
  <si>
    <t>통돌이</t>
  </si>
  <si>
    <t>드럼</t>
  </si>
  <si>
    <t>스탠드</t>
  </si>
  <si>
    <t>천장형</t>
  </si>
  <si>
    <t>벽걸이</t>
  </si>
  <si>
    <t>김의덕</t>
  </si>
  <si>
    <t>010 8968 7445</t>
  </si>
  <si>
    <t>인천시</t>
  </si>
  <si>
    <t>불가</t>
  </si>
  <si>
    <t>가능</t>
  </si>
  <si>
    <t>사무실 스탠드만 가능</t>
  </si>
  <si>
    <t>신국관</t>
  </si>
  <si>
    <t>010 2214 9048</t>
  </si>
  <si>
    <t>오전 너무 먼 곳 지양</t>
  </si>
  <si>
    <t>이선근</t>
  </si>
  <si>
    <t>010 2262 6538</t>
  </si>
  <si>
    <t>토요일 휴무 | 일요일 근무</t>
  </si>
  <si>
    <t>전상현</t>
  </si>
  <si>
    <t>010 9185 9895</t>
  </si>
  <si>
    <t>김포시</t>
  </si>
  <si>
    <t>보류</t>
  </si>
  <si>
    <r>
      <t xml:space="preserve">사무실 스탠드만 가능 | </t>
    </r>
    <r>
      <rPr>
        <b/>
        <sz val="11"/>
        <color rgb="FFff0000"/>
        <rFont val="맑은 고딕"/>
        <family val="2"/>
      </rPr>
      <t>포웨이 불가</t>
    </r>
  </si>
  <si>
    <t>은여울</t>
  </si>
  <si>
    <t>010 6471 2202</t>
  </si>
  <si>
    <t>매주 토요일 1시부터 일정 가능</t>
  </si>
  <si>
    <t>중동</t>
  </si>
  <si>
    <t>010 6401 4673</t>
  </si>
  <si>
    <t>부천시</t>
  </si>
  <si>
    <t>신정이</t>
  </si>
  <si>
    <t>010-8947-4280</t>
  </si>
  <si>
    <t>원웨이 벽걸이 위주 | 스탠드 자제</t>
  </si>
  <si>
    <t>온상현</t>
  </si>
  <si>
    <t>010 4626 3237</t>
  </si>
  <si>
    <t>액자형, 덕트 가능 | 엘지 출신</t>
  </si>
  <si>
    <t>홍천</t>
  </si>
  <si>
    <t>010 9238 0412</t>
  </si>
  <si>
    <t>관악구</t>
  </si>
  <si>
    <t>하루 4~5개 | 삼성 출신 | 관악으로 이사</t>
  </si>
  <si>
    <t>이종진</t>
  </si>
  <si>
    <t>010 4565 4796</t>
  </si>
  <si>
    <t>금천구</t>
  </si>
  <si>
    <t>서랍장벽걸이 가능 | 삼성2구 듀얼 위너 | 360</t>
  </si>
  <si>
    <t>강서구</t>
  </si>
  <si>
    <t>010 5646 8673</t>
  </si>
  <si>
    <t>투인원 3시간 | 스탠드 2시간 | 벽걸이 1시간</t>
  </si>
  <si>
    <t>박기범</t>
  </si>
  <si>
    <t>010 3994 9865</t>
  </si>
  <si>
    <t>마포구</t>
  </si>
  <si>
    <t>천장형 2.5미터 이상 불가 | 가능지역 있음</t>
  </si>
  <si>
    <t>마석</t>
  </si>
  <si>
    <t>010-5459-2089</t>
  </si>
  <si>
    <t>보편적인 스탠드로 잡기</t>
  </si>
  <si>
    <t>강북구</t>
  </si>
  <si>
    <t>010 5298 6944</t>
  </si>
  <si>
    <t>천장형 웬만하면 잡지 말 것</t>
  </si>
  <si>
    <t>지니</t>
  </si>
  <si>
    <t>010 8588 7058</t>
  </si>
  <si>
    <t>벽걸이 하루 3개 | 여성기사</t>
  </si>
  <si>
    <t>태식</t>
  </si>
  <si>
    <t>010 3263 4787</t>
  </si>
  <si>
    <t>오전 너무 먼 곳 지양 | 구형 스탠드 전문</t>
  </si>
  <si>
    <t>정민섭</t>
  </si>
  <si>
    <t>010 9321 1129</t>
  </si>
  <si>
    <r>
      <t>포웨이 불가</t>
    </r>
    <r>
      <rPr>
        <b/>
        <sz val="11"/>
        <color rgb="FF000000"/>
        <rFont val="맑은 고딕"/>
        <family val="2"/>
      </rPr>
      <t xml:space="preserve"> | 당분간 월 목은 오전만</t>
    </r>
  </si>
  <si>
    <t>서희석</t>
  </si>
  <si>
    <t>010-2774-7670</t>
  </si>
  <si>
    <t>도봉구</t>
  </si>
  <si>
    <t xml:space="preserve">가능 </t>
  </si>
  <si>
    <t>플렉스워시 빼고 대부분</t>
  </si>
  <si>
    <t>송성근</t>
  </si>
  <si>
    <t>010-9012-5494</t>
  </si>
  <si>
    <t>양주시</t>
  </si>
  <si>
    <t>박준평</t>
  </si>
  <si>
    <t>010-5023-7631</t>
  </si>
  <si>
    <t>성북구</t>
  </si>
  <si>
    <t>양곡</t>
  </si>
  <si>
    <t>010-2253-8695</t>
  </si>
  <si>
    <t>불가능</t>
  </si>
  <si>
    <t>중랑구</t>
  </si>
  <si>
    <t>010-9861-4010</t>
  </si>
  <si>
    <t>엘지 출신ㅣ플렉스워시 빼고 대부분</t>
  </si>
  <si>
    <t>송도</t>
  </si>
  <si>
    <t>010 9931 0929</t>
  </si>
  <si>
    <t>조철</t>
  </si>
  <si>
    <t>010-4626-4171</t>
  </si>
  <si>
    <t>시흥</t>
  </si>
  <si>
    <t>하루 두 개씩</t>
  </si>
  <si>
    <t>태환</t>
  </si>
  <si>
    <t>010-9040-6757</t>
  </si>
  <si>
    <t>인천</t>
  </si>
  <si>
    <t>과거 위니아 설치기사</t>
  </si>
  <si>
    <t>태형</t>
  </si>
  <si>
    <t>010-7464-2996</t>
  </si>
  <si>
    <t>부천</t>
  </si>
  <si>
    <t>가능`</t>
  </si>
  <si>
    <t>박정환</t>
  </si>
  <si>
    <t>010-5824-3609</t>
  </si>
  <si>
    <t>일산</t>
  </si>
  <si>
    <t>빌트인 세탁기,스탠드,포웨이안됨</t>
  </si>
  <si>
    <t>남양주</t>
  </si>
  <si>
    <t>010-6231-5167</t>
  </si>
  <si>
    <t>안양</t>
  </si>
  <si>
    <t>010-4238-3018</t>
  </si>
  <si>
    <t>수원 안양 안산 지역 위주</t>
  </si>
  <si>
    <t>성수</t>
  </si>
  <si>
    <t>010-7704-7433</t>
  </si>
  <si>
    <t>성동구</t>
  </si>
  <si>
    <t>포웨이,복층 원웨이X</t>
  </si>
  <si>
    <t>종로구</t>
  </si>
  <si>
    <t>010-8982-3806</t>
  </si>
  <si>
    <t>조상현</t>
  </si>
  <si>
    <t>010-4946-3932</t>
  </si>
  <si>
    <t>하남</t>
  </si>
  <si>
    <t>가구</t>
  </si>
  <si>
    <t>010 6894 9811</t>
  </si>
  <si>
    <t>현민</t>
  </si>
  <si>
    <t>010 4449 2470</t>
  </si>
  <si>
    <t>수원</t>
  </si>
  <si>
    <t>스탠드 불가</t>
  </si>
  <si>
    <t>원주</t>
  </si>
  <si>
    <t>010-2004-5525</t>
  </si>
  <si>
    <t>오산</t>
  </si>
  <si>
    <t>010-8822-5764</t>
  </si>
  <si>
    <t>주말 근무 [용인/수원/오산]</t>
  </si>
  <si>
    <t>조은혜</t>
  </si>
  <si>
    <t>010 4546 3932</t>
  </si>
  <si>
    <t>고양</t>
  </si>
  <si>
    <t>보편적인 스탠드로 / 포웨이불가</t>
  </si>
  <si>
    <t>강철</t>
  </si>
  <si>
    <t>서은호 010-2447-7541</t>
  </si>
  <si>
    <t>해강님 지인 | 2인1조</t>
  </si>
  <si>
    <t>박권재 010-2043-1083</t>
  </si>
  <si>
    <t>오산권기사</t>
  </si>
  <si>
    <t>010 9737 3759</t>
  </si>
  <si>
    <t>오산시</t>
  </si>
  <si>
    <t>금월 매출</t>
  </si>
  <si>
    <t>4월 일정 및 기사 휴무 :</t>
  </si>
  <si>
    <t>봄</t>
  </si>
  <si>
    <t>5시반~6시</t>
  </si>
  <si>
    <t>손지수</t>
  </si>
  <si>
    <t>010-9329-3436</t>
  </si>
  <si>
    <t>인천 서구 가현로100 브룩사이드 1동 503호</t>
  </si>
  <si>
    <r>
      <t xml:space="preserve">원웨이 종합 2대 </t>
    </r>
    <r>
      <rPr>
        <b/>
        <sz val="11"/>
        <color rgb="FF000000"/>
        <rFont val="Malgun Gothic"/>
        <family val="2"/>
      </rPr>
      <t>(12만원 잔금)</t>
    </r>
  </si>
  <si>
    <t>1. 비대면 세척 &gt; 세척 전후 사진 보내주세요</t>
  </si>
  <si>
    <t>2. 5:30에 시작해두시는것으로하고 집에 아무도 없어서</t>
  </si>
  <si>
    <t>비밀번호 알려드릴게요! 먼저 시작해주시고</t>
  </si>
  <si>
    <t>끝나갈때쯤 집 도착할 것 깉습니다</t>
  </si>
  <si>
    <t>3. 리뷰 약속으로 1만원 할인</t>
  </si>
  <si>
    <t>&gt; 고객이 시간 미룸 &gt; 출장비 발생</t>
  </si>
  <si>
    <t xml:space="preserve">&gt; 4/10 전화 부재중 </t>
  </si>
  <si>
    <t>12시~1시</t>
  </si>
  <si>
    <t>.</t>
  </si>
  <si>
    <t>010 5676 7067</t>
  </si>
  <si>
    <t>강남구 역삼동 612-5 y빌라 105호</t>
  </si>
  <si>
    <r>
      <t xml:space="preserve">원웨이 종합 </t>
    </r>
    <r>
      <rPr>
        <b/>
        <sz val="11"/>
        <color rgb="FF000000"/>
        <rFont val="Malgun Gothic"/>
        <family val="2"/>
      </rPr>
      <t>(8만원)</t>
    </r>
  </si>
  <si>
    <t>정연주</t>
  </si>
  <si>
    <t>1. 고객 사정으로 일정 변경</t>
  </si>
  <si>
    <t>2. 전화, 채팅 부재</t>
  </si>
  <si>
    <t>2월중</t>
  </si>
  <si>
    <t>미정</t>
  </si>
  <si>
    <t>최은선</t>
  </si>
  <si>
    <t>010-7144-6302</t>
  </si>
  <si>
    <t>고양시 일산서구 후곡로 55</t>
  </si>
  <si>
    <t>LG통돌이 15kg + 건조기 16kg</t>
  </si>
  <si>
    <t>3만원</t>
  </si>
  <si>
    <t>20만원</t>
  </si>
  <si>
    <t>1. 이사 날짜 확정되면 말씀주신다고 함</t>
  </si>
  <si>
    <t>박상길</t>
  </si>
  <si>
    <t>010-5049-5335</t>
  </si>
  <si>
    <t>종로구 혜화로8길 5-1 한옥주택</t>
  </si>
  <si>
    <t>벽걸이 종합</t>
  </si>
  <si>
    <t>9만원</t>
  </si>
  <si>
    <t>&gt; 내부 공사로 인해 6/13 기준 2주뒤 연락 주신다고 함</t>
  </si>
  <si>
    <t>&gt; 총 2대 중 1대는 6/28 진행</t>
  </si>
  <si>
    <t>&gt; 6/27 전화 부재중</t>
  </si>
  <si>
    <t>문준경</t>
  </si>
  <si>
    <t>010-8386-7660</t>
  </si>
  <si>
    <t>송파구 백제고분로 28길 36-6 303호</t>
  </si>
  <si>
    <t xml:space="preserve">벽걸이 종합 </t>
  </si>
  <si>
    <t>6만원</t>
  </si>
  <si>
    <t>&gt; 고객 사정으로 인해 5/25에서 옮긴 일정</t>
  </si>
  <si>
    <t>3시~4시</t>
  </si>
  <si>
    <t>강선호</t>
  </si>
  <si>
    <t>010-3180-6718</t>
  </si>
  <si>
    <t>송파구 오금동 33-12 401호</t>
  </si>
  <si>
    <t>원웨이 종합</t>
  </si>
  <si>
    <t>&gt; 6/18 방문했었으나 배수펌프 이상으로 진행 못한 건 AS 22일에 완료되어 재진행</t>
  </si>
  <si>
    <t>&gt; 수리비로 인해 집주인과 이슈 발생으로 협의 후 일정 재조율</t>
  </si>
  <si>
    <t>4~5시</t>
  </si>
  <si>
    <t>최정원</t>
  </si>
  <si>
    <t>010-9209-6584</t>
  </si>
  <si>
    <t>김포시 장기동 태정로 845 117동1402호 센트럴자이1단지</t>
  </si>
  <si>
    <t>캐리어 에어로18단1세대 스탠드</t>
  </si>
  <si>
    <t>1. 작년에 했던 고객님</t>
  </si>
  <si>
    <t>&gt; 에어컨 가스가 새고, 수리를 해야해서 추후 일정 조율한다고 함</t>
  </si>
  <si>
    <t>5시~6시</t>
  </si>
  <si>
    <t>윤정민</t>
  </si>
  <si>
    <t>010-9612-1205</t>
  </si>
  <si>
    <t>강서구 가양동 1475 강변3단지 306동 1006호</t>
  </si>
  <si>
    <t>삼성 연아 2구 스탠드</t>
  </si>
  <si>
    <t>&gt; 7/11(당일)에 갑자기 급한일이 생겼다고 일정 바꾸겠다고 함</t>
  </si>
  <si>
    <t>8월 중</t>
  </si>
  <si>
    <t>시간미정</t>
  </si>
  <si>
    <t>노주연</t>
  </si>
  <si>
    <t>010 5694 8778</t>
  </si>
  <si>
    <t>서대문구 연희동 51-97 인산빌라 201호</t>
  </si>
  <si>
    <t>삼성 무풍2구 스탠드</t>
  </si>
  <si>
    <t>&gt; 6월 10일 예약이었으나 시아버님이 편찮으셔서 밀림</t>
  </si>
  <si>
    <t>&gt; 7월말~8월초 중에 다시 일정 잡기로 함</t>
  </si>
  <si>
    <t>고동균</t>
  </si>
  <si>
    <t>010 8205 5285</t>
  </si>
  <si>
    <t>안산시 원고잔로 17 에비뉴큐브시티오피스텔 627호</t>
  </si>
  <si>
    <t>&gt; 중앙제어로 인해 전기 차단 어려워 철수후 일정 조율하여 다시 연락준다고 함</t>
  </si>
  <si>
    <t>25년 중</t>
  </si>
  <si>
    <t>9시~10시</t>
  </si>
  <si>
    <t>양성화</t>
  </si>
  <si>
    <t>010 8713 2580</t>
  </si>
  <si>
    <t>강북구 삼양로 27길 95 두산트레지움A 214동 903호</t>
  </si>
  <si>
    <t>삼성 김연아3구 투인원 종합 + 실외기</t>
  </si>
  <si>
    <t>18만원</t>
  </si>
  <si>
    <t>010 2086 5184</t>
  </si>
  <si>
    <t>&gt; 댁 내 사정으로 인해 이사 후 세척 진행 예정</t>
  </si>
  <si>
    <t>10월 중</t>
  </si>
  <si>
    <t>김승수</t>
  </si>
  <si>
    <t>010-6279-4586</t>
  </si>
  <si>
    <t xml:space="preserve">부평구 평촌로 398 1층 투썸플레이스 인천삼산사거리점 </t>
  </si>
  <si>
    <r>
      <t xml:space="preserve">포웨이 종합 3대 </t>
    </r>
    <r>
      <rPr>
        <b/>
        <sz val="11"/>
        <color rgb="FF000000"/>
        <rFont val="Malgun Gothic"/>
        <family val="2"/>
      </rPr>
      <t>(총 33만원)</t>
    </r>
  </si>
  <si>
    <t>30만원</t>
  </si>
  <si>
    <t xml:space="preserve">&gt; 손님 오는 시간 겹쳐서 작업 못하고 철수함 </t>
  </si>
  <si>
    <t>10시~11시</t>
  </si>
  <si>
    <t>강해림</t>
  </si>
  <si>
    <t>010 8109 3105</t>
  </si>
  <si>
    <t>수원시 권선구 서둔동 26-126 웰리지 더 시티 오피스텔</t>
  </si>
  <si>
    <r>
      <t>원웨이 종합 3대</t>
    </r>
    <r>
      <rPr>
        <b/>
        <sz val="11"/>
        <color rgb="FF000000"/>
        <rFont val="Malgun Gothic"/>
        <family val="2"/>
      </rPr>
      <t xml:space="preserve"> (총 26만원)</t>
    </r>
  </si>
  <si>
    <r>
      <t xml:space="preserve">1. 고층 사다리 필요 &gt; </t>
    </r>
    <r>
      <rPr>
        <b/>
        <sz val="11"/>
        <color rgb="FF000000"/>
        <rFont val="Malgun Gothic"/>
        <family val="2"/>
      </rPr>
      <t>층고추가금 수당에 포함 (1층 1대만 층고추가금)</t>
    </r>
  </si>
  <si>
    <t>&gt;&gt; 12일 일정에서 다른 일정으로 고객이 바꾸고 싶다고 하고 잠수</t>
  </si>
  <si>
    <t>2시반~3시</t>
  </si>
  <si>
    <t>김민성</t>
  </si>
  <si>
    <t>010-2248-0389</t>
  </si>
  <si>
    <t>동대문구 이문로37 베라체캠퍼스 820호</t>
  </si>
  <si>
    <r>
      <t xml:space="preserve">벽걸이 종합 </t>
    </r>
    <r>
      <rPr>
        <b/>
        <sz val="11"/>
        <color rgb="FF000000"/>
        <rFont val="Malgun Gothic"/>
        <family val="2"/>
      </rPr>
      <t>(총 8만원)</t>
    </r>
  </si>
  <si>
    <t>1. 방수포 꼼꼼히 &gt; 에어컨 아래 침대</t>
  </si>
  <si>
    <t>&gt; 9/13 일정 보류, 스케줄 확인 후 연락주신다고 함</t>
  </si>
  <si>
    <t>문성주</t>
  </si>
  <si>
    <t>010-3688-0249</t>
  </si>
  <si>
    <t>인천 남동구 만수주공아파트 217동 701호</t>
  </si>
  <si>
    <t>10만원</t>
  </si>
  <si>
    <t>&gt; 9/18 일정 보류</t>
  </si>
  <si>
    <t>11월 중</t>
  </si>
  <si>
    <t>윤종원</t>
  </si>
  <si>
    <t>010-2370-1883</t>
  </si>
  <si>
    <t>고양시 일산동구 마두동 859 정발건영2단지 204동 101호</t>
  </si>
  <si>
    <t>삼성 드럼 24키로 + 건조기 (직렬설치)</t>
  </si>
  <si>
    <t>5만원</t>
  </si>
  <si>
    <r>
      <t>1. 홍천</t>
    </r>
    <r>
      <rPr>
        <b/>
        <sz val="11"/>
        <color rgb="FFff0000"/>
        <rFont val="Malgun Gothic"/>
        <family val="2"/>
      </rPr>
      <t>기사님과 함께 건조기 하당 부탁드립니다 (동행기사)</t>
    </r>
  </si>
  <si>
    <t>+ 삼성 무풍갤러리 스탠드</t>
  </si>
  <si>
    <t xml:space="preserve">&gt; 세탁기 및 건조기 </t>
  </si>
  <si>
    <t>&gt; 건조기 하강 및 재위치만</t>
  </si>
  <si>
    <t>10시반~11시</t>
  </si>
  <si>
    <t>조광미</t>
  </si>
  <si>
    <t>010-9020-8150</t>
  </si>
  <si>
    <t>중랑구 묵동 금호어울림아파트 102동604호</t>
  </si>
  <si>
    <t>엘지 듀얼 투인원 종합</t>
  </si>
  <si>
    <t>15만원</t>
  </si>
  <si>
    <t>4시</t>
  </si>
  <si>
    <t>김성덕</t>
  </si>
  <si>
    <t>010-6242-1315</t>
  </si>
  <si>
    <t>김포시 김포한강11로 179 한강신도시푸르지오 509동 904호</t>
  </si>
  <si>
    <t>엘지 드럼 20kg</t>
  </si>
  <si>
    <t>14만원</t>
  </si>
  <si>
    <t>&gt; 세탁실 공간이 협소하여 1/9이사 후 당일 진행 예정</t>
  </si>
  <si>
    <t>&gt; 1/9 이사가 늦게 끝나 정리 후 일정 재조율</t>
  </si>
  <si>
    <t>박숙자</t>
  </si>
  <si>
    <t>010-4333-6843</t>
  </si>
  <si>
    <t>수원 광교호수공원로20 103동 2105호</t>
  </si>
  <si>
    <t>원웨이 4대 종합</t>
  </si>
  <si>
    <t>25만원</t>
  </si>
  <si>
    <t>5월 초</t>
  </si>
  <si>
    <t>이여진</t>
  </si>
  <si>
    <t>010-3706-4669</t>
  </si>
  <si>
    <t>고양시 화정동 1148, 자인채 오피스텔 909호</t>
  </si>
  <si>
    <t>원웨이 종합(층고에 따라 1~2만원 추가받아야해요)</t>
  </si>
  <si>
    <t>1. 고층사다리 필요 &gt; 3m부터 1만원 / 3.5m부터 2만원 추가</t>
  </si>
  <si>
    <t>&gt; 중앙제어라 진행 불가</t>
  </si>
  <si>
    <t>추후 일정 조율하여 재방문 예정</t>
  </si>
  <si>
    <t>5월 17일</t>
  </si>
  <si>
    <t>이슬기</t>
  </si>
  <si>
    <t>010-4313-9911</t>
  </si>
  <si>
    <t>양주시 옥정동 1022 504-1902</t>
  </si>
  <si>
    <t>삼성 무풍 2구 투인원 종합</t>
  </si>
  <si>
    <t>12만원</t>
  </si>
  <si>
    <t>5월 19일</t>
  </si>
  <si>
    <t>최진선</t>
  </si>
  <si>
    <t>010-7597-2024</t>
  </si>
  <si>
    <t>중랑구 봉우재로20길 44-8 동성네스트 101동 301호</t>
  </si>
  <si>
    <t>5월 31일</t>
  </si>
  <si>
    <t>10시!</t>
  </si>
  <si>
    <t>우현정</t>
  </si>
  <si>
    <t>010 2767 7910</t>
  </si>
  <si>
    <t>부천시 경인옛로 25 부천한신더휴메트로 101동 3504호</t>
  </si>
  <si>
    <t>원웨이 종합 2대</t>
  </si>
  <si>
    <t>11만원</t>
  </si>
  <si>
    <t>박주미</t>
  </si>
  <si>
    <t>010-8816-5906</t>
  </si>
  <si>
    <t>금천구 디지털로 10길 69 가산센트럴푸르지오시티 A동 204호</t>
  </si>
  <si>
    <t>김동영</t>
  </si>
  <si>
    <t>010-9569-6804</t>
  </si>
  <si>
    <t xml:space="preserve">수원시 장안구 서부로2198번길 44-17 팔레스빌 201호 </t>
  </si>
  <si>
    <t>삼성 무풍 2구 스탠드 + 엘지 트윈워시</t>
  </si>
  <si>
    <t>1시~2시</t>
  </si>
  <si>
    <t>윤지유</t>
  </si>
  <si>
    <t>010-7740-5863</t>
  </si>
  <si>
    <t>서초구 잠원로157 119동 313호</t>
  </si>
  <si>
    <t>2시~3시</t>
  </si>
  <si>
    <t>정한검</t>
  </si>
  <si>
    <t>010-4670-8754</t>
  </si>
  <si>
    <t>성남시 수정구 수정로217번길21  A동 101호</t>
  </si>
  <si>
    <t>이강은</t>
  </si>
  <si>
    <t>010-9111-7544</t>
  </si>
  <si>
    <t>부천시 원미구 조마루로398번길 11,301호(성원맨션)</t>
  </si>
  <si>
    <t>3시!</t>
  </si>
  <si>
    <t>한예진</t>
  </si>
  <si>
    <t>010-3000-3917</t>
  </si>
  <si>
    <t>송파구 가락로2길 4-6 3층 302호</t>
  </si>
  <si>
    <t>삼성 무풍 갤러리 투인원 종합</t>
  </si>
  <si>
    <t>Youngrok
윤영록</t>
  </si>
  <si>
    <t>010-8966-9871</t>
  </si>
  <si>
    <t>경기 광주 머루숯길 61-12 642에비뉴 103동 503호</t>
  </si>
  <si>
    <t>원웨이 2대 종합</t>
  </si>
  <si>
    <t>한숙희</t>
  </si>
  <si>
    <t>010-8976-1227</t>
  </si>
  <si>
    <t>인천 남동구 논현동 은봉로 166번길 27 논현휴먼시아 범마을 211동 103호</t>
  </si>
  <si>
    <t>삼성 무풍 2구 스탠드</t>
  </si>
  <si>
    <t>김시현</t>
  </si>
  <si>
    <t>010-9398-3227</t>
  </si>
  <si>
    <r>
      <t xml:space="preserve">성동구 성수일로10길 26 상가동 114호 사거리찌개집
</t>
    </r>
    <r>
      <rPr>
        <b/>
        <sz val="11"/>
        <color rgb="FF000000"/>
        <rFont val="맑은 고딕"/>
        <family val="2"/>
      </rPr>
      <t>1. 기름때 제거비 &gt; 1~3만원 발생 가능</t>
    </r>
  </si>
  <si>
    <t>포웨이 종합</t>
  </si>
  <si>
    <t>남영현</t>
  </si>
  <si>
    <t>010-6862-5529</t>
  </si>
  <si>
    <t>강서구 공항대로 46길 9 연우넥스트뷰 602호
1. 고층 사다리 대여 가능 여부 확인 필요 &gt; 층고추가금 수당에 포함</t>
  </si>
  <si>
    <t>12시!</t>
  </si>
  <si>
    <t>배진영</t>
  </si>
  <si>
    <t>010 4202 7992</t>
  </si>
  <si>
    <t>동두천시 상패로138 드림아인스빌 102동904호</t>
  </si>
  <si>
    <t>11시</t>
  </si>
  <si>
    <t>김송이</t>
  </si>
  <si>
    <t>010-3942-1932</t>
  </si>
  <si>
    <r>
      <t>경기도 수원시 권선구 서호서로25 303호</t>
    </r>
    <r>
      <rPr>
        <b/>
        <sz val="11"/>
        <color rgb="FF000000"/>
        <rFont val="Malgun Gothic"/>
        <family val="2"/>
      </rPr>
      <t xml:space="preserve"> </t>
    </r>
    <r>
      <rPr>
        <b/>
        <sz val="11"/>
        <color rgb="FFff0000"/>
        <rFont val="Malgun Gothic"/>
        <family val="2"/>
      </rPr>
      <t>[세척 완료 후 전액 카드결제, 예약금 반환]</t>
    </r>
  </si>
  <si>
    <t>엘지 위너 투인원 종합</t>
  </si>
  <si>
    <t>마동차
황태림</t>
  </si>
  <si>
    <t>010-7770-9803</t>
  </si>
  <si>
    <t>서초구 서초동 1600-4</t>
  </si>
  <si>
    <t>김혜영</t>
  </si>
  <si>
    <t>010-8000-2503</t>
  </si>
  <si>
    <t xml:space="preserve">파주시 송학1길 123 프리덴 302호 </t>
  </si>
  <si>
    <t>11시~12시</t>
  </si>
  <si>
    <t>이아름솔</t>
  </si>
  <si>
    <t>010-3020-9826</t>
  </si>
  <si>
    <t>시흥시 은계중앙로 325, 107동 1303호</t>
  </si>
  <si>
    <t>김미주</t>
  </si>
  <si>
    <t>010-6878-2046</t>
  </si>
  <si>
    <t>중랑구 면목로65길 48 벨라리움 102동 401호</t>
  </si>
  <si>
    <t>박종환</t>
  </si>
  <si>
    <t>010-8789-0448</t>
  </si>
  <si>
    <t>서대문구 문화촌길6-24 문화촌현대아파트 103동1405호</t>
  </si>
  <si>
    <t>앞 집 직후</t>
  </si>
  <si>
    <t>서대문구 문화촌길6-24 문화촌현대아파트 103동1009호</t>
  </si>
  <si>
    <t>엘지 위너 스탠드</t>
  </si>
  <si>
    <t>장혜선</t>
  </si>
  <si>
    <t>010-8000-4954</t>
  </si>
  <si>
    <t>성동구 응봉동 100 대림 1차 아파트 9-504</t>
  </si>
  <si>
    <t>황형서</t>
  </si>
  <si>
    <t>010-4441-2512</t>
  </si>
  <si>
    <t>용산구 효창원로37(신창동 56-34)</t>
  </si>
  <si>
    <t>2시</t>
  </si>
  <si>
    <t>한성주</t>
  </si>
  <si>
    <t>010 7397 1532</t>
  </si>
  <si>
    <t>시흥시 배곧4로 106-26 한신 더휴 아파트1009동 1801호</t>
  </si>
  <si>
    <t>원웨이 종합 4대</t>
  </si>
  <si>
    <t>4시반~5시</t>
  </si>
  <si>
    <t>한경석</t>
  </si>
  <si>
    <t>010-5216-6625</t>
  </si>
  <si>
    <t>안양시 동안구 비산동 1044-28 302호</t>
  </si>
  <si>
    <t>엄소영</t>
  </si>
  <si>
    <t>010-6288-3844</t>
  </si>
  <si>
    <t>금천구 금하로 23다길6 다온하우스202호</t>
  </si>
  <si>
    <t>채정원</t>
  </si>
  <si>
    <t>010-4740-4659</t>
  </si>
  <si>
    <t>노원구 공릉동 218 101동 403호입니다</t>
  </si>
  <si>
    <t>선서진</t>
  </si>
  <si>
    <t>010-4943-0386</t>
  </si>
  <si>
    <r>
      <t/>
    </r>
    <r>
      <rPr>
        <sz val="11"/>
        <color rgb="FF000000"/>
        <rFont val="Aptos Narrow"/>
        <family val="2"/>
      </rPr>
      <t xml:space="preserve">마포구 만리재로 90, 블레스하임3차오피스텔 1007호 </t>
    </r>
    <r>
      <rPr>
        <b/>
        <sz val="11"/>
        <color rgb="FFff0000"/>
        <rFont val="Aptos Narrow"/>
        <family val="2"/>
      </rPr>
      <t>[숨고페이]</t>
    </r>
  </si>
  <si>
    <t>4월 1일</t>
  </si>
  <si>
    <t>9시!</t>
  </si>
  <si>
    <t>박상찬</t>
  </si>
  <si>
    <t>010-5582-5268</t>
  </si>
  <si>
    <r>
      <t xml:space="preserve">성남시 수정구 319 산성역포레스티아 108동 2402호
</t>
    </r>
    <r>
      <rPr>
        <b/>
        <sz val="11"/>
        <color rgb="FF000000"/>
        <rFont val="맑은 고딕"/>
        <family val="2"/>
      </rPr>
      <t>1. 오전9시 시작요청
2. 방문전 사전 차량등록을 해야해서 문자로 차량번호 발송부탁드립니다.</t>
    </r>
  </si>
  <si>
    <t>10시</t>
  </si>
  <si>
    <t>나영
민나영</t>
  </si>
  <si>
    <t>010-6619-2236</t>
  </si>
  <si>
    <t>인천 서구 새오개로 48번길 6 신현빌라 1동 301호</t>
  </si>
  <si>
    <t>김선옥</t>
  </si>
  <si>
    <t>010-5584-2608</t>
  </si>
  <si>
    <t>서대문구 거북골로20길 33~21  401호(북가좌동 신정빌라)</t>
  </si>
  <si>
    <t>삼성 2구 투인원 종합 + 삼성 통돌이 10키로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</si>
</sst>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m월 dd일 aaaa"/>
    <numFmt numFmtId="165" formatCode="mm월 dd일 aaaa"/>
    <numFmt numFmtId="166" formatCode="#,##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5"/>
      <color rgb="FF000000"/>
      <name val="HY견고딕"/>
      <family val="2"/>
    </font>
    <font>
      <sz val="18"/>
      <color rgb="FF000000"/>
      <name val="HY헤드라인M"/>
      <family val="2"/>
    </font>
    <font>
      <b/>
      <sz val="14"/>
      <color rgb="FF000000"/>
      <name val="맑은 고딕"/>
      <family val="2"/>
    </font>
    <font>
      <sz val="11"/>
      <color rgb="FF0070c0"/>
      <name val="맑은 고딕"/>
      <family val="2"/>
    </font>
    <font>
      <sz val="11"/>
      <color rgb="FFff0000"/>
      <name val="맑은 고딕"/>
      <family val="2"/>
    </font>
    <font>
      <b/>
      <sz val="11"/>
      <color rgb="FF000000"/>
      <name val="맑은 고딕"/>
      <family val="2"/>
    </font>
    <font>
      <b/>
      <sz val="15"/>
      <color rgb="FF000000"/>
      <name val="맑은 고딕"/>
      <family val="2"/>
    </font>
    <font>
      <sz val="11"/>
      <color rgb="FF000000"/>
      <name val="맑은 고딕"/>
      <family val="2"/>
    </font>
    <font>
      <b/>
      <sz val="12"/>
      <color rgb="FF000000"/>
      <name val="맑은 고딕"/>
      <family val="2"/>
    </font>
    <font>
      <sz val="12"/>
      <color rgb="FF000000"/>
      <name val="맑은 고딕"/>
      <family val="2"/>
    </font>
    <font>
      <b/>
      <sz val="12"/>
      <color rgb="FF0070c0"/>
      <name val="맑은 고딕"/>
      <family val="2"/>
    </font>
    <font>
      <b/>
      <sz val="12"/>
      <color rgb="FFff0000"/>
      <name val="맑은 고딕"/>
      <family val="2"/>
    </font>
    <font>
      <b/>
      <sz val="11"/>
      <color rgb="FFff0000"/>
      <name val="맑은 고딕"/>
      <family val="2"/>
    </font>
    <font>
      <b/>
      <sz val="13"/>
      <color rgb="FFffffff"/>
      <name val="맑은 고딕"/>
      <family val="2"/>
    </font>
    <font>
      <sz val="11"/>
      <color rgb="FF000000"/>
      <name val="Malgun Gothic"/>
      <family val="2"/>
    </font>
    <font>
      <sz val="11"/>
      <color rgb="FF0070c0"/>
      <name val="Malgun Gothic"/>
      <family val="2"/>
    </font>
    <font>
      <sz val="11"/>
      <color rgb="FFff0000"/>
      <name val="Malgun Gothic"/>
      <family val="2"/>
    </font>
    <font>
      <b/>
      <sz val="11"/>
      <color rgb="FFff0000"/>
      <name val="Malgun Gothic"/>
      <family val="2"/>
    </font>
    <font>
      <sz val="11"/>
      <color rgb="FF9c0006"/>
      <name val="Malgun Gothic"/>
      <family val="2"/>
    </font>
    <font>
      <b/>
      <sz val="11"/>
      <color rgb="FF000000"/>
      <name val="Malgun Gothic"/>
      <family val="2"/>
    </font>
    <font>
      <sz val="11"/>
      <color rgb="FF9c0006"/>
      <name val="맑은 고딕"/>
      <family val="2"/>
    </font>
    <font>
      <b/>
      <sz val="14"/>
      <color rgb="FFffffff"/>
      <name val="맑은 고딕"/>
      <family val="2"/>
    </font>
    <font>
      <b/>
      <sz val="11"/>
      <color rgb="FFffffff"/>
      <name val="맑은 고딕"/>
      <family val="2"/>
    </font>
    <font>
      <sz val="11"/>
      <color theme="1"/>
      <name val="맑은 고딕"/>
      <family val="2"/>
    </font>
    <font>
      <b/>
      <sz val="11"/>
      <color rgb="FF0070c0"/>
      <name val="맑은 고딕"/>
      <family val="2"/>
    </font>
    <font>
      <b/>
      <sz val="11"/>
      <color theme="1"/>
      <name val="맑은 고딕"/>
      <family val="2"/>
    </font>
    <font>
      <b/>
      <sz val="15"/>
      <color rgb="FF000000"/>
      <name val="Malgun Gothic"/>
      <family val="2"/>
    </font>
    <font>
      <b/>
      <sz val="12"/>
      <color rgb="FF000000"/>
      <name val="Malgun Gothic"/>
      <family val="2"/>
    </font>
    <font>
      <sz val="12"/>
      <color rgb="FF000000"/>
      <name val="Malgun Gothic"/>
      <family val="2"/>
    </font>
    <font>
      <b/>
      <sz val="12"/>
      <color rgb="FF0070c0"/>
      <name val="Malgun Gothic"/>
      <family val="2"/>
    </font>
    <font>
      <b/>
      <sz val="12"/>
      <color rgb="FFff0000"/>
      <name val="Malgun Gothic"/>
      <family val="2"/>
    </font>
    <font>
      <b/>
      <sz val="26"/>
      <color rgb="FFff0000"/>
      <name val="Malgun Gothic"/>
      <family val="2"/>
    </font>
    <font>
      <sz val="11"/>
      <color theme="1"/>
      <name val="Malgun Gothic"/>
      <family val="2"/>
    </font>
    <font>
      <sz val="11"/>
      <color rgb="FF323232"/>
      <name val="Malgun Gothic"/>
      <family val="2"/>
    </font>
    <font>
      <sz val="11"/>
      <color rgb="FF000000"/>
      <name val="Aptos Narrow"/>
      <family val="2"/>
    </font>
  </fonts>
  <fills count="28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a6caec"/>
      </patternFill>
    </fill>
    <fill>
      <patternFill patternType="solid">
        <fgColor rgb="FFffff00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dceaf7"/>
      </patternFill>
    </fill>
    <fill>
      <patternFill patternType="solid">
        <fgColor rgb="FF8fabdb"/>
      </patternFill>
    </fill>
    <fill>
      <patternFill patternType="solid">
        <fgColor rgb="FFbed7ee"/>
      </patternFill>
    </fill>
    <fill>
      <patternFill patternType="solid">
        <fgColor rgb="FFffffff"/>
      </patternFill>
    </fill>
    <fill>
      <patternFill patternType="solid">
        <fgColor rgb="FFd9f2d0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fffcc"/>
      </patternFill>
    </fill>
    <fill>
      <patternFill patternType="solid">
        <fgColor rgb="FFffc000"/>
      </patternFill>
    </fill>
    <fill>
      <patternFill patternType="solid">
        <fgColor rgb="FF0000ff"/>
      </patternFill>
    </fill>
    <fill>
      <patternFill patternType="solid">
        <fgColor rgb="FFccccff"/>
      </patternFill>
    </fill>
    <fill>
      <patternFill patternType="solid">
        <fgColor rgb="FFffccff"/>
      </patternFill>
    </fill>
    <fill>
      <patternFill patternType="solid">
        <fgColor rgb="FFccffff"/>
      </patternFill>
    </fill>
    <fill>
      <patternFill patternType="solid">
        <fgColor rgb="FFfce4d6"/>
      </patternFill>
    </fill>
    <fill>
      <patternFill patternType="solid">
        <fgColor rgb="FFd1d1d1"/>
      </patternFill>
    </fill>
    <fill>
      <patternFill patternType="solid">
        <fgColor rgb="FFbfbfbf"/>
      </patternFill>
    </fill>
    <fill>
      <patternFill patternType="solid">
        <fgColor rgb="FFdaf2d0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double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c6c6c6"/>
      </left>
      <right style="thin">
        <color rgb="FFffe699"/>
      </right>
      <top style="thin">
        <color rgb="FFffe699"/>
      </top>
      <bottom style="thin">
        <color rgb="FFffe699"/>
      </bottom>
      <diagonal/>
    </border>
    <border>
      <left style="thin">
        <color rgb="FFffe699"/>
      </left>
      <right style="thin">
        <color rgb="FFffe699"/>
      </right>
      <top style="thin">
        <color rgb="FFffe699"/>
      </top>
      <bottom style="thin">
        <color rgb="FFffe699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c6c6c6"/>
      </left>
      <right style="thin">
        <color rgb="FFffffff"/>
      </right>
      <top style="thin">
        <color rgb="FFc6c6c6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c6c6c6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c6c6c6"/>
      </right>
      <top style="thin">
        <color rgb="FFffffff"/>
      </top>
      <bottom style="thin">
        <color rgb="FFffffff"/>
      </bottom>
      <diagonal/>
    </border>
    <border>
      <left style="thin">
        <color rgb="FF00b0f0"/>
      </left>
      <right style="thin">
        <color rgb="FFc6c6c6"/>
      </right>
      <top style="thin">
        <color rgb="FF00b0f0"/>
      </top>
      <bottom style="thin">
        <color rgb="FF00b0f0"/>
      </bottom>
      <diagonal/>
    </border>
    <border>
      <left style="thin">
        <color rgb="FFc6c6c6"/>
      </left>
      <right style="thin">
        <color rgb="FFc6c6c6"/>
      </right>
      <top style="thin">
        <color rgb="FF00b0f0"/>
      </top>
      <bottom style="thin">
        <color rgb="FF00b0f0"/>
      </bottom>
      <diagonal/>
    </border>
    <border>
      <left style="thin">
        <color rgb="FFc6c6c6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c6c6c6"/>
      </left>
      <right style="thin">
        <color rgb="FF00b0f0"/>
      </right>
      <top style="thin">
        <color rgb="FFc6c6c6"/>
      </top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b0f0"/>
      </left>
      <right/>
      <top style="thin">
        <color rgb="FFffe699"/>
      </top>
      <bottom style="thin">
        <color rgb="FFffffff"/>
      </bottom>
      <diagonal/>
    </border>
    <border>
      <left/>
      <right style="thin">
        <color rgb="FFffffff"/>
      </right>
      <top style="thin">
        <color rgb="FFffe699"/>
      </top>
      <bottom style="thin">
        <color rgb="FFffffff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 style="thin">
        <color rgb="FFc6c6c6"/>
      </right>
      <top style="thin">
        <color rgb="FF00b0f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b0f0"/>
      </top>
      <bottom style="thin">
        <color rgb="FFc6c6c6"/>
      </bottom>
      <diagonal/>
    </border>
    <border>
      <left style="thin">
        <color rgb="FFc6c6c6"/>
      </left>
      <right style="thin">
        <color rgb="FF00b0f0"/>
      </right>
      <top style="thin">
        <color rgb="FF00b0f0"/>
      </top>
      <bottom style="thin">
        <color rgb="FFc6c6c6"/>
      </bottom>
      <diagonal/>
    </border>
    <border>
      <left style="thin">
        <color rgb="FF00b0f0"/>
      </left>
      <right style="thin">
        <color rgb="FFc6c6c6"/>
      </right>
      <top style="thin">
        <color rgb="FFc6c6c6"/>
      </top>
      <bottom style="thin">
        <color rgb="FF00b0f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c6c6c6"/>
      </bottom>
      <diagonal/>
    </border>
    <border>
      <left style="thin">
        <color rgb="FF00b0f0"/>
      </left>
      <right style="thin">
        <color rgb="FF00b0f0"/>
      </right>
      <top style="thin">
        <color rgb="FFc6c6c6"/>
      </top>
      <bottom style="thin">
        <color rgb="FFc6c6c6"/>
      </bottom>
      <diagonal/>
    </border>
    <border>
      <left style="thin">
        <color rgb="FF00b0f0"/>
      </left>
      <right style="thin">
        <color rgb="FF00b0f0"/>
      </right>
      <top style="thin">
        <color rgb="FFc6c6c6"/>
      </top>
      <bottom style="thin">
        <color rgb="FF00b0f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37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164" applyNumberFormat="1" borderId="3" applyBorder="1" fontId="2" applyFont="1" fillId="2" applyFill="1" applyAlignment="1">
      <alignment horizontal="center"/>
    </xf>
    <xf xfId="0" numFmtId="165" applyNumberFormat="1" borderId="3" applyBorder="1" fontId="1" applyFont="1" fillId="0" applyAlignment="1">
      <alignment horizontal="left"/>
    </xf>
    <xf xfId="0" numFmtId="0" borderId="4" applyBorder="1" fontId="1" applyFont="1" fillId="0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0" borderId="6" applyBorder="1" fontId="3" applyFont="1" fillId="0" applyAlignment="1">
      <alignment horizontal="left"/>
    </xf>
    <xf xfId="0" numFmtId="164" applyNumberFormat="1" borderId="7" applyBorder="1" fontId="1" applyFont="1" fillId="0" applyAlignment="1">
      <alignment horizontal="center"/>
    </xf>
    <xf xfId="0" numFmtId="3" applyNumberFormat="1" borderId="7" applyBorder="1" fontId="1" applyFont="1" fillId="0" applyAlignment="1">
      <alignment horizontal="center"/>
    </xf>
    <xf xfId="0" numFmtId="3" applyNumberFormat="1" borderId="8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center"/>
    </xf>
    <xf xfId="0" numFmtId="164" applyNumberFormat="1" borderId="9" applyBorder="1" fontId="4" applyFont="1" fillId="3" applyFill="1" applyAlignment="1">
      <alignment horizontal="center"/>
    </xf>
    <xf xfId="0" numFmtId="3" applyNumberFormat="1" borderId="9" applyBorder="1" fontId="1" applyFont="1" fillId="4" applyFill="1" applyAlignment="1">
      <alignment horizontal="center"/>
    </xf>
    <xf xfId="0" numFmtId="166" applyNumberFormat="1" borderId="9" applyBorder="1" fontId="1" applyFont="1" fillId="0" applyAlignment="1">
      <alignment horizontal="center"/>
    </xf>
    <xf xfId="0" numFmtId="3" applyNumberFormat="1" borderId="10" applyBorder="1" fontId="5" applyFont="1" fillId="5" applyFill="1" applyAlignment="1">
      <alignment horizontal="center"/>
    </xf>
    <xf xfId="0" numFmtId="3" applyNumberFormat="1" borderId="11" applyBorder="1" fontId="6" applyFont="1" fillId="5" applyFill="1" applyAlignment="1">
      <alignment horizontal="center"/>
    </xf>
    <xf xfId="0" numFmtId="0" borderId="12" applyBorder="1" fontId="1" applyFont="1" fillId="0" applyAlignment="1">
      <alignment horizontal="center"/>
    </xf>
    <xf xfId="0" numFmtId="164" applyNumberFormat="1" borderId="9" applyBorder="1" fontId="1" applyFont="1" fillId="6" applyFill="1" applyAlignment="1">
      <alignment horizontal="center"/>
    </xf>
    <xf xfId="0" numFmtId="3" applyNumberFormat="1" borderId="9" applyBorder="1" fontId="1" applyFont="1" fillId="6" applyFill="1" applyAlignment="1">
      <alignment horizontal="center"/>
    </xf>
    <xf xfId="0" numFmtId="3" applyNumberFormat="1" borderId="13" applyBorder="1" fontId="7" applyFont="1" fillId="0" applyAlignment="1">
      <alignment horizontal="center"/>
    </xf>
    <xf xfId="0" numFmtId="3" applyNumberFormat="1" borderId="8" applyBorder="1" fontId="7" applyFont="1" fillId="0" applyAlignment="1">
      <alignment horizontal="center"/>
    </xf>
    <xf xfId="0" numFmtId="3" applyNumberFormat="1" borderId="2" applyBorder="1" fontId="7" applyFont="1" fillId="7" applyFill="1" applyAlignment="1">
      <alignment horizontal="center" vertical="top"/>
    </xf>
    <xf xfId="0" numFmtId="3" applyNumberFormat="1" borderId="2" applyBorder="1" fontId="8" applyFont="1" fillId="8" applyFill="1" applyAlignment="1">
      <alignment horizontal="center" vertical="top"/>
    </xf>
    <xf xfId="0" numFmtId="3" applyNumberFormat="1" borderId="2" applyBorder="1" fontId="8" applyFont="1" fillId="8" applyFill="1" applyAlignment="1">
      <alignment horizontal="center"/>
    </xf>
    <xf xfId="0" numFmtId="3" applyNumberFormat="1" borderId="6" applyBorder="1" fontId="1" applyFont="1" fillId="0" applyAlignment="1">
      <alignment horizontal="center"/>
    </xf>
    <xf xfId="0" numFmtId="3" applyNumberFormat="1" borderId="9" applyBorder="1" fontId="9" applyFont="1" fillId="9" applyFill="1" applyAlignment="1">
      <alignment horizontal="center"/>
    </xf>
    <xf xfId="0" numFmtId="3" applyNumberFormat="1" borderId="9" applyBorder="1" fontId="9" applyFont="1" fillId="10" applyFill="1" applyAlignment="1">
      <alignment horizontal="center"/>
    </xf>
    <xf xfId="0" numFmtId="3" applyNumberFormat="1" borderId="2" applyBorder="1" fontId="7" applyFont="1" fillId="7" applyFill="1" applyAlignment="1">
      <alignment horizontal="center"/>
    </xf>
    <xf xfId="0" numFmtId="3" applyNumberFormat="1" borderId="14" applyBorder="1" fontId="1" applyFont="1" fillId="0" applyAlignment="1">
      <alignment horizontal="center"/>
    </xf>
    <xf xfId="0" numFmtId="3" applyNumberFormat="1" borderId="2" applyBorder="1" fontId="10" applyFont="1" fillId="7" applyFill="1" applyAlignment="1">
      <alignment horizontal="center"/>
    </xf>
    <xf xfId="0" numFmtId="3" applyNumberFormat="1" borderId="2" applyBorder="1" fontId="11" applyFont="1" fillId="11" applyFill="1" applyAlignment="1">
      <alignment horizontal="center"/>
    </xf>
    <xf xfId="0" numFmtId="3" applyNumberFormat="1" borderId="2" applyBorder="1" fontId="5" applyFont="1" fillId="10" applyFill="1" applyAlignment="1">
      <alignment horizontal="center"/>
    </xf>
    <xf xfId="0" numFmtId="3" applyNumberFormat="1" borderId="2" applyBorder="1" fontId="5" applyFont="1" fillId="0" applyAlignment="1">
      <alignment horizontal="center"/>
    </xf>
    <xf xfId="0" numFmtId="3" applyNumberFormat="1" borderId="2" applyBorder="1" fontId="6" applyFont="1" fillId="10" applyFill="1" applyAlignment="1">
      <alignment horizontal="center"/>
    </xf>
    <xf xfId="0" numFmtId="3" applyNumberFormat="1" borderId="2" applyBorder="1" fontId="6" applyFont="1" fillId="0" applyAlignment="1">
      <alignment horizontal="center"/>
    </xf>
    <xf xfId="0" numFmtId="3" applyNumberFormat="1" borderId="2" applyBorder="1" fontId="12" applyFont="1" fillId="0" applyAlignment="1">
      <alignment horizontal="center"/>
    </xf>
    <xf xfId="0" numFmtId="3" applyNumberFormat="1" borderId="2" applyBorder="1" fontId="13" applyFont="1" fillId="0" applyAlignment="1">
      <alignment horizontal="center"/>
    </xf>
    <xf xfId="0" numFmtId="3" applyNumberFormat="1" borderId="15" applyBorder="1" fontId="1" applyFont="1" fillId="0" applyAlignment="1">
      <alignment horizontal="center"/>
    </xf>
    <xf xfId="0" numFmtId="164" applyNumberFormat="1" borderId="9" applyBorder="1" fontId="4" applyFont="1" fillId="11" applyFill="1" applyAlignment="1">
      <alignment horizontal="center"/>
    </xf>
    <xf xfId="0" numFmtId="3" applyNumberFormat="1" borderId="16" applyBorder="1" fontId="14" applyFont="1" fillId="8" applyFill="1" applyAlignment="1">
      <alignment horizontal="center"/>
    </xf>
    <xf xfId="0" numFmtId="3" applyNumberFormat="1" borderId="17" applyBorder="1" fontId="14" applyFont="1" fillId="8" applyFill="1" applyAlignment="1">
      <alignment horizontal="center"/>
    </xf>
    <xf xfId="0" numFmtId="3" applyNumberFormat="1" borderId="18" applyBorder="1" fontId="7" applyFont="1" fillId="12" applyFill="1" applyAlignment="1">
      <alignment horizontal="center" vertical="top"/>
    </xf>
    <xf xfId="0" numFmtId="3" applyNumberFormat="1" borderId="19" applyBorder="1" fontId="8" applyFont="1" fillId="8" applyFill="1" applyAlignment="1">
      <alignment horizontal="center" vertical="top"/>
    </xf>
    <xf xfId="0" numFmtId="3" applyNumberFormat="1" borderId="20" applyBorder="1" fontId="8" applyFont="1" fillId="8" applyFill="1" applyAlignment="1">
      <alignment horizontal="center"/>
    </xf>
    <xf xfId="0" numFmtId="3" applyNumberFormat="1" borderId="21" applyBorder="1" fontId="7" applyFont="1" fillId="12" applyFill="1" applyAlignment="1">
      <alignment horizontal="center"/>
    </xf>
    <xf xfId="0" numFmtId="3" applyNumberFormat="1" borderId="22" applyBorder="1" fontId="8" applyFont="1" fillId="8" applyFill="1" applyAlignment="1">
      <alignment horizontal="center"/>
    </xf>
    <xf xfId="0" numFmtId="3" applyNumberFormat="1" borderId="23" applyBorder="1" fontId="8" applyFont="1" fillId="8" applyFill="1" applyAlignment="1">
      <alignment horizontal="center"/>
    </xf>
    <xf xfId="0" numFmtId="3" applyNumberFormat="1" borderId="24" applyBorder="1" fontId="10" applyFont="1" fillId="12" applyFill="1" applyAlignment="1">
      <alignment horizontal="center"/>
    </xf>
    <xf xfId="0" numFmtId="3" applyNumberFormat="1" borderId="25" applyBorder="1" fontId="10" applyFont="1" fillId="12" applyFill="1" applyAlignment="1">
      <alignment horizontal="center"/>
    </xf>
    <xf xfId="0" numFmtId="3" applyNumberFormat="1" borderId="26" applyBorder="1" fontId="10" applyFont="1" fillId="12" applyFill="1" applyAlignment="1">
      <alignment horizontal="center"/>
    </xf>
    <xf xfId="0" numFmtId="3" applyNumberFormat="1" borderId="21" applyBorder="1" fontId="11" applyFont="1" fillId="13" applyFill="1" applyAlignment="1">
      <alignment horizontal="center"/>
    </xf>
    <xf xfId="0" numFmtId="3" applyNumberFormat="1" borderId="23" applyBorder="1" fontId="11" applyFont="1" fillId="13" applyFill="1" applyAlignment="1">
      <alignment horizontal="center"/>
    </xf>
    <xf xfId="0" numFmtId="3" applyNumberFormat="1" borderId="21" applyBorder="1" fontId="5" applyFont="1" fillId="10" applyFill="1" applyAlignment="1">
      <alignment horizontal="right"/>
    </xf>
    <xf xfId="0" numFmtId="3" applyNumberFormat="1" borderId="27" applyBorder="1" fontId="12" applyFont="1" fillId="0" applyAlignment="1">
      <alignment horizontal="right"/>
    </xf>
    <xf xfId="0" numFmtId="3" applyNumberFormat="1" borderId="28" applyBorder="1" fontId="12" applyFont="1" fillId="0" applyAlignment="1">
      <alignment horizontal="left"/>
    </xf>
    <xf xfId="0" numFmtId="3" applyNumberFormat="1" borderId="29" applyBorder="1" fontId="13" applyFont="1" fillId="0" applyAlignment="1">
      <alignment horizontal="right"/>
    </xf>
    <xf xfId="0" numFmtId="3" applyNumberFormat="1" borderId="29" applyBorder="1" fontId="13" applyFont="1" fillId="0" applyAlignment="1">
      <alignment horizontal="left"/>
    </xf>
    <xf xfId="0" numFmtId="3" applyNumberFormat="1" borderId="28" applyBorder="1" fontId="13" applyFont="1" fillId="0" applyAlignment="1">
      <alignment horizontal="left"/>
    </xf>
    <xf xfId="0" numFmtId="164" applyNumberFormat="1" borderId="9" applyBorder="1" fontId="1" applyFont="1" fillId="9" applyFill="1" applyAlignment="1">
      <alignment horizontal="center"/>
    </xf>
    <xf xfId="0" numFmtId="164" applyNumberFormat="1" borderId="9" applyBorder="1" fontId="15" applyFont="1" fillId="9" applyFill="1" applyAlignment="1">
      <alignment horizontal="center" wrapText="1"/>
    </xf>
    <xf xfId="0" numFmtId="164" applyNumberFormat="1" borderId="9" applyBorder="1" fontId="1" applyFont="1" fillId="9" applyFill="1" applyAlignment="1">
      <alignment horizontal="left"/>
    </xf>
    <xf xfId="0" numFmtId="164" applyNumberFormat="1" borderId="9" applyBorder="1" fontId="1" applyFont="1" fillId="14" applyFill="1" applyAlignment="1">
      <alignment horizontal="center"/>
    </xf>
    <xf xfId="0" numFmtId="164" applyNumberFormat="1" borderId="9" applyBorder="1" fontId="1" applyFont="1" fillId="14" applyFill="1" applyAlignment="1">
      <alignment horizontal="left" wrapText="1"/>
    </xf>
    <xf xfId="0" numFmtId="164" applyNumberFormat="1" borderId="9" applyBorder="1" fontId="1" applyFont="1" fillId="14" applyFill="1" applyAlignment="1">
      <alignment horizontal="left"/>
    </xf>
    <xf xfId="0" numFmtId="3" applyNumberFormat="1" borderId="9" applyBorder="1" fontId="9" applyFont="1" fillId="14" applyFill="1" applyAlignment="1">
      <alignment horizontal="center"/>
    </xf>
    <xf xfId="0" numFmtId="20" applyNumberFormat="1" borderId="9" applyBorder="1" fontId="1" applyFont="1" fillId="14" applyFill="1" applyAlignment="1">
      <alignment horizontal="center"/>
    </xf>
    <xf xfId="0" numFmtId="0" borderId="3" applyBorder="1" fontId="1" applyFont="1" fillId="8" applyFill="1" applyAlignment="1">
      <alignment horizontal="center"/>
    </xf>
    <xf xfId="0" numFmtId="3" applyNumberFormat="1" borderId="30" applyBorder="1" fontId="1" applyFont="1" fillId="8" applyFill="1" applyAlignment="1">
      <alignment horizontal="center"/>
    </xf>
    <xf xfId="0" numFmtId="164" applyNumberFormat="1" borderId="31" applyBorder="1" fontId="4" applyFont="1" fillId="11" applyFill="1" applyAlignment="1">
      <alignment horizontal="center"/>
    </xf>
    <xf xfId="0" numFmtId="164" applyNumberFormat="1" borderId="32" applyBorder="1" fontId="4" applyFont="1" fillId="11" applyFill="1" applyAlignment="1">
      <alignment horizontal="center"/>
    </xf>
    <xf xfId="0" numFmtId="164" applyNumberFormat="1" borderId="33" applyBorder="1" fontId="4" applyFont="1" fillId="11" applyFill="1" applyAlignment="1">
      <alignment horizontal="center"/>
    </xf>
    <xf xfId="0" numFmtId="3" applyNumberFormat="1" borderId="9" applyBorder="1" fontId="16" applyFont="1" fillId="15" applyFill="1" applyAlignment="1">
      <alignment horizontal="center"/>
    </xf>
    <xf xfId="0" numFmtId="166" applyNumberFormat="1" borderId="9" applyBorder="1" fontId="16" applyFont="1" fillId="0" applyAlignment="1">
      <alignment horizontal="center"/>
    </xf>
    <xf xfId="0" numFmtId="3" applyNumberFormat="1" borderId="10" applyBorder="1" fontId="17" applyFont="1" fillId="5" applyFill="1" applyAlignment="1">
      <alignment horizontal="center"/>
    </xf>
    <xf xfId="0" numFmtId="3" applyNumberFormat="1" borderId="11" applyBorder="1" fontId="18" applyFont="1" fillId="5" applyFill="1" applyAlignment="1">
      <alignment horizontal="center"/>
    </xf>
    <xf xfId="0" numFmtId="164" applyNumberFormat="1" borderId="9" applyBorder="1" fontId="16" applyFont="1" fillId="6" applyFill="1" applyAlignment="1">
      <alignment horizontal="center"/>
    </xf>
    <xf xfId="0" numFmtId="3" applyNumberFormat="1" borderId="9" applyBorder="1" fontId="16" applyFont="1" fillId="6" applyFill="1" applyAlignment="1">
      <alignment horizontal="center"/>
    </xf>
    <xf xfId="0" numFmtId="164" applyNumberFormat="1" borderId="31" applyBorder="1" fontId="19" applyFont="1" fillId="3" applyFill="1" applyAlignment="1">
      <alignment horizontal="center"/>
    </xf>
    <xf xfId="0" numFmtId="164" applyNumberFormat="1" borderId="32" applyBorder="1" fontId="19" applyFont="1" fillId="3" applyFill="1" applyAlignment="1">
      <alignment horizontal="center"/>
    </xf>
    <xf xfId="0" numFmtId="164" applyNumberFormat="1" borderId="33" applyBorder="1" fontId="19" applyFont="1" fillId="3" applyFill="1" applyAlignment="1">
      <alignment horizontal="center"/>
    </xf>
    <xf xfId="0" numFmtId="164" applyNumberFormat="1" borderId="31" applyBorder="1" fontId="16" applyFont="1" fillId="6" applyFill="1" applyAlignment="1">
      <alignment horizontal="center"/>
    </xf>
    <xf xfId="0" numFmtId="164" applyNumberFormat="1" borderId="33" applyBorder="1" fontId="16" applyFont="1" fillId="6" applyFill="1" applyAlignment="1">
      <alignment horizontal="center"/>
    </xf>
    <xf xfId="0" numFmtId="164" applyNumberFormat="1" borderId="9" applyBorder="1" fontId="20" applyFont="1" fillId="16" applyFill="1" applyAlignment="1">
      <alignment horizontal="center"/>
    </xf>
    <xf xfId="0" numFmtId="3" applyNumberFormat="1" borderId="13" applyBorder="1" fontId="21" applyFont="1" fillId="0" applyAlignment="1">
      <alignment horizontal="center"/>
    </xf>
    <xf xfId="0" numFmtId="3" applyNumberFormat="1" borderId="8" applyBorder="1" fontId="21" applyFont="1" fillId="0" applyAlignment="1">
      <alignment horizontal="center"/>
    </xf>
    <xf xfId="0" numFmtId="3" applyNumberFormat="1" borderId="6" applyBorder="1" fontId="16" applyFont="1" fillId="0" applyAlignment="1">
      <alignment horizontal="center"/>
    </xf>
    <xf xfId="0" numFmtId="3" applyNumberFormat="1" borderId="3" applyBorder="1" fontId="16" applyFont="1" fillId="0" applyAlignment="1">
      <alignment horizontal="center"/>
    </xf>
    <xf xfId="0" numFmtId="3" applyNumberFormat="1" borderId="15" applyBorder="1" fontId="16" applyFont="1" fillId="0" applyAlignment="1">
      <alignment horizontal="center"/>
    </xf>
    <xf xfId="0" numFmtId="3" applyNumberFormat="1" borderId="7" applyBorder="1" fontId="16" applyFont="1" fillId="0" applyAlignment="1">
      <alignment horizontal="center"/>
    </xf>
    <xf xfId="0" numFmtId="164" applyNumberFormat="1" borderId="31" applyBorder="1" fontId="14" applyFont="1" fillId="3" applyFill="1" applyAlignment="1">
      <alignment horizontal="center" wrapText="1"/>
    </xf>
    <xf xfId="0" numFmtId="164" applyNumberFormat="1" borderId="32" applyBorder="1" fontId="14" applyFont="1" fillId="3" applyFill="1" applyAlignment="1">
      <alignment horizontal="center" wrapText="1"/>
    </xf>
    <xf xfId="0" numFmtId="164" applyNumberFormat="1" borderId="33" applyBorder="1" fontId="14" applyFont="1" fillId="3" applyFill="1" applyAlignment="1">
      <alignment horizontal="center" wrapText="1"/>
    </xf>
    <xf xfId="0" numFmtId="3" applyNumberFormat="1" borderId="34" applyBorder="1" fontId="16" applyFont="1" fillId="17" applyFill="1" applyAlignment="1">
      <alignment horizontal="center"/>
    </xf>
    <xf xfId="0" numFmtId="166" applyNumberFormat="1" borderId="35" applyBorder="1" fontId="16" applyFont="1" fillId="0" applyAlignment="1">
      <alignment horizontal="center"/>
    </xf>
    <xf xfId="0" numFmtId="164" applyNumberFormat="1" borderId="31" applyBorder="1" fontId="9" applyFont="1" fillId="6" applyFill="1" applyAlignment="1">
      <alignment horizontal="center" wrapText="1"/>
    </xf>
    <xf xfId="0" numFmtId="164" applyNumberFormat="1" borderId="33" applyBorder="1" fontId="9" applyFont="1" fillId="6" applyFill="1" applyAlignment="1">
      <alignment horizontal="center" wrapText="1"/>
    </xf>
    <xf xfId="0" numFmtId="164" applyNumberFormat="1" borderId="34" applyBorder="1" fontId="9" applyFont="1" fillId="6" applyFill="1" applyAlignment="1">
      <alignment horizontal="center"/>
    </xf>
    <xf xfId="0" numFmtId="164" applyNumberFormat="1" borderId="9" applyBorder="1" fontId="22" applyFont="1" fillId="16" applyFill="1" applyAlignment="1">
      <alignment horizontal="center"/>
    </xf>
    <xf xfId="0" numFmtId="3" applyNumberFormat="1" borderId="9" applyBorder="1" fontId="16" applyFont="1" fillId="10" applyFill="1" applyAlignment="1">
      <alignment horizontal="center"/>
    </xf>
    <xf xfId="0" numFmtId="164" applyNumberFormat="1" borderId="31" applyBorder="1" fontId="19" applyFont="1" fillId="3" applyFill="1" applyAlignment="1">
      <alignment horizontal="center" wrapText="1"/>
    </xf>
    <xf xfId="0" numFmtId="164" applyNumberFormat="1" borderId="32" applyBorder="1" fontId="19" applyFont="1" fillId="3" applyFill="1" applyAlignment="1">
      <alignment horizontal="center" wrapText="1"/>
    </xf>
    <xf xfId="0" numFmtId="164" applyNumberFormat="1" borderId="33" applyBorder="1" fontId="19" applyFont="1" fillId="3" applyFill="1" applyAlignment="1">
      <alignment horizontal="center" wrapText="1"/>
    </xf>
    <xf xfId="0" numFmtId="164" applyNumberFormat="1" borderId="31" applyBorder="1" fontId="16" applyFont="1" fillId="6" applyFill="1" applyAlignment="1">
      <alignment horizontal="center" wrapText="1"/>
    </xf>
    <xf xfId="0" numFmtId="164" applyNumberFormat="1" borderId="33" applyBorder="1" fontId="16" applyFont="1" fillId="6" applyFill="1" applyAlignment="1">
      <alignment horizontal="center" wrapText="1"/>
    </xf>
    <xf xfId="0" numFmtId="164" applyNumberFormat="1" borderId="34" applyBorder="1" fontId="16" applyFont="1" fillId="6" applyFill="1" applyAlignment="1">
      <alignment horizontal="center"/>
    </xf>
    <xf xfId="0" numFmtId="3" applyNumberFormat="1" borderId="34" applyBorder="1" fontId="16" applyFont="1" fillId="6" applyFill="1" applyAlignment="1">
      <alignment horizontal="center"/>
    </xf>
    <xf xfId="0" numFmtId="3" applyNumberFormat="1" borderId="33" applyBorder="1" fontId="9" applyFont="1" fillId="17" applyFill="1" applyAlignment="1">
      <alignment horizontal="center"/>
    </xf>
    <xf xfId="0" numFmtId="166" applyNumberFormat="1" borderId="36" applyBorder="1" fontId="9" applyFont="1" fillId="0" applyAlignment="1">
      <alignment horizontal="center"/>
    </xf>
    <xf xfId="0" numFmtId="3" applyNumberFormat="1" borderId="34" applyBorder="1" fontId="9" applyFont="1" fillId="6" applyFill="1" applyAlignment="1">
      <alignment horizontal="center"/>
    </xf>
    <xf xfId="0" numFmtId="164" applyNumberFormat="1" borderId="31" applyBorder="1" fontId="14" applyFont="1" fillId="11" applyFill="1" applyAlignment="1">
      <alignment horizontal="center"/>
    </xf>
    <xf xfId="0" numFmtId="164" applyNumberFormat="1" borderId="32" applyBorder="1" fontId="14" applyFont="1" fillId="11" applyFill="1" applyAlignment="1">
      <alignment horizontal="center"/>
    </xf>
    <xf xfId="0" numFmtId="164" applyNumberFormat="1" borderId="33" applyBorder="1" fontId="14" applyFont="1" fillId="11" applyFill="1" applyAlignment="1">
      <alignment horizontal="center"/>
    </xf>
    <xf xfId="0" numFmtId="3" applyNumberFormat="1" borderId="9" applyBorder="1" fontId="1" applyFont="1" fillId="15" applyFill="1" applyAlignment="1">
      <alignment horizontal="center"/>
    </xf>
    <xf xfId="0" numFmtId="3" applyNumberFormat="1" borderId="37" applyBorder="1" fontId="7" applyFont="1" fillId="0" applyAlignment="1">
      <alignment horizontal="center"/>
    </xf>
    <xf xfId="0" numFmtId="3" applyNumberFormat="1" borderId="38" applyBorder="1" fontId="7" applyFont="1" fillId="0" applyAlignment="1">
      <alignment horizontal="center"/>
    </xf>
    <xf xfId="0" numFmtId="164" applyNumberFormat="1" borderId="9" applyBorder="1" fontId="23" applyFont="1" fillId="9" applyFill="1" applyAlignment="1">
      <alignment horizontal="center"/>
    </xf>
    <xf xfId="0" numFmtId="164" applyNumberFormat="1" borderId="9" applyBorder="1" fontId="4" applyFont="1" fillId="18" applyFill="1" applyAlignment="1">
      <alignment horizontal="center"/>
    </xf>
    <xf xfId="0" numFmtId="166" applyNumberFormat="1" borderId="9" applyBorder="1" fontId="7" applyFont="1" fillId="19" applyFill="1" applyAlignment="1">
      <alignment horizontal="center"/>
    </xf>
    <xf xfId="0" numFmtId="3" applyNumberFormat="1" borderId="13" applyBorder="1" fontId="14" applyFont="1" fillId="0" applyAlignment="1">
      <alignment horizontal="center"/>
    </xf>
    <xf xfId="0" numFmtId="3" applyNumberFormat="1" borderId="8" applyBorder="1" fontId="14" applyFont="1" fillId="0" applyAlignment="1">
      <alignment horizontal="center"/>
    </xf>
    <xf xfId="0" numFmtId="164" applyNumberFormat="1" borderId="9" applyBorder="1" fontId="4" applyFont="1" fillId="15" applyFill="1" applyAlignment="1">
      <alignment horizontal="center"/>
    </xf>
    <xf xfId="0" numFmtId="166" applyNumberFormat="1" borderId="9" applyBorder="1" fontId="24" applyFont="1" fillId="20" applyFill="1" applyAlignment="1">
      <alignment horizontal="center"/>
    </xf>
    <xf xfId="0" numFmtId="164" applyNumberFormat="1" borderId="9" applyBorder="1" fontId="4" applyFont="1" fillId="21" applyFill="1" applyAlignment="1">
      <alignment horizontal="center"/>
    </xf>
    <xf xfId="0" numFmtId="3" applyNumberFormat="1" borderId="9" applyBorder="1" fontId="1" applyFont="1" fillId="10" applyFill="1" applyAlignment="1">
      <alignment horizontal="center"/>
    </xf>
    <xf xfId="0" numFmtId="164" applyNumberFormat="1" borderId="9" applyBorder="1" fontId="4" applyFont="1" fillId="22" applyFill="1" applyAlignment="1">
      <alignment horizontal="center"/>
    </xf>
    <xf xfId="0" numFmtId="164" applyNumberFormat="1" borderId="9" applyBorder="1" fontId="14" applyFont="1" fillId="23" applyFill="1" applyAlignment="1">
      <alignment horizontal="center"/>
    </xf>
    <xf xfId="0" numFmtId="164" applyNumberFormat="1" borderId="31" applyBorder="1" fontId="1" applyFont="1" fillId="6" applyFill="1" applyAlignment="1">
      <alignment horizontal="center"/>
    </xf>
    <xf xfId="0" numFmtId="164" applyNumberFormat="1" borderId="33" applyBorder="1" fontId="1" applyFont="1" fillId="6" applyFill="1" applyAlignment="1">
      <alignment horizontal="center"/>
    </xf>
    <xf xfId="0" numFmtId="3" applyNumberFormat="1" borderId="39" applyBorder="1" fontId="7" applyFont="1" fillId="0" applyAlignment="1">
      <alignment horizontal="center"/>
    </xf>
    <xf xfId="0" numFmtId="3" applyNumberFormat="1" borderId="40" applyBorder="1" fontId="7" applyFont="1" fillId="0" applyAlignment="1">
      <alignment horizontal="center"/>
    </xf>
    <xf xfId="0" numFmtId="164" applyNumberFormat="1" borderId="9" applyBorder="1" fontId="25" applyFont="1" fillId="14" applyFill="1" applyAlignment="1">
      <alignment horizontal="center"/>
    </xf>
    <xf xfId="0" numFmtId="164" applyNumberFormat="1" borderId="9" applyBorder="1" fontId="25" applyFont="1" fillId="14" applyFill="1" applyAlignment="1">
      <alignment horizontal="left" wrapText="1"/>
    </xf>
    <xf xfId="0" numFmtId="164" applyNumberFormat="1" borderId="8" applyBorder="1" fontId="1" applyFont="1" fillId="0" applyAlignment="1">
      <alignment horizontal="center"/>
    </xf>
    <xf xfId="0" numFmtId="164" applyNumberFormat="1" borderId="8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164" applyNumberFormat="1" borderId="0" fontId="0" fillId="0" applyAlignment="1">
      <alignment horizontal="left"/>
    </xf>
    <xf xfId="0" numFmtId="0" borderId="1" applyBorder="1" fontId="9" applyFont="1" fillId="0" applyAlignment="1">
      <alignment horizontal="center"/>
    </xf>
    <xf xfId="0" numFmtId="166" applyNumberFormat="1" borderId="1" applyBorder="1" fontId="9" applyFont="1" fillId="0" applyAlignment="1">
      <alignment horizontal="center"/>
    </xf>
    <xf xfId="0" numFmtId="0" borderId="2" applyBorder="1" fontId="7" applyFont="1" fillId="3" applyFill="1" applyAlignment="1">
      <alignment horizontal="center" vertical="top"/>
    </xf>
    <xf xfId="0" numFmtId="0" borderId="41" applyBorder="1" fontId="7" applyFont="1" fillId="3" applyFill="1" applyAlignment="1">
      <alignment horizontal="center" vertical="top"/>
    </xf>
    <xf xfId="0" numFmtId="0" borderId="25" applyBorder="1" fontId="7" applyFont="1" fillId="3" applyFill="1" applyAlignment="1">
      <alignment horizontal="center"/>
    </xf>
    <xf xfId="0" numFmtId="0" borderId="41" applyBorder="1" fontId="7" applyFont="1" fillId="3" applyFill="1" applyAlignment="1">
      <alignment horizontal="center"/>
    </xf>
    <xf xfId="0" numFmtId="0" borderId="2" applyBorder="1" fontId="7" applyFont="1" fillId="3" applyFill="1" applyAlignment="1">
      <alignment horizontal="center"/>
    </xf>
    <xf xfId="0" numFmtId="166" applyNumberFormat="1" borderId="25" applyBorder="1" fontId="7" applyFont="1" fillId="3" applyFill="1" applyAlignment="1">
      <alignment horizontal="center" vertical="top"/>
    </xf>
    <xf xfId="0" numFmtId="0" borderId="25" applyBorder="1" fontId="7" applyFont="1" fillId="6" applyFill="1" applyAlignment="1">
      <alignment horizontal="center"/>
    </xf>
    <xf xfId="0" numFmtId="0" borderId="41" applyBorder="1" fontId="7" applyFont="1" fillId="6" applyFill="1" applyAlignment="1">
      <alignment horizontal="center"/>
    </xf>
    <xf xfId="0" numFmtId="0" borderId="25" applyBorder="1" fontId="7" applyFont="1" fillId="24" applyFill="1" applyAlignment="1">
      <alignment horizontal="center"/>
    </xf>
    <xf xfId="0" numFmtId="0" borderId="2" applyBorder="1" fontId="7" applyFont="1" fillId="24" applyFill="1" applyAlignment="1">
      <alignment horizontal="center"/>
    </xf>
    <xf xfId="0" numFmtId="0" borderId="41" applyBorder="1" fontId="7" applyFont="1" fillId="24" applyFill="1" applyAlignment="1">
      <alignment horizontal="center"/>
    </xf>
    <xf xfId="0" numFmtId="166" applyNumberFormat="1" borderId="25" applyBorder="1" fontId="7" applyFont="1" fillId="3" applyFill="1" applyAlignment="1">
      <alignment horizontal="center"/>
    </xf>
    <xf xfId="0" numFmtId="0" borderId="2" applyBorder="1" fontId="25" applyFont="1" fillId="14" applyFill="1" applyAlignment="1">
      <alignment horizontal="center"/>
    </xf>
    <xf xfId="0" numFmtId="0" borderId="2" applyBorder="1" fontId="9" applyFont="1" fillId="14" applyFill="1" applyAlignment="1">
      <alignment horizontal="center"/>
    </xf>
    <xf xfId="0" numFmtId="0" borderId="41" applyBorder="1" fontId="9" applyFont="1" fillId="14" applyFill="1" applyAlignment="1">
      <alignment horizontal="center"/>
    </xf>
    <xf xfId="0" numFmtId="0" borderId="25" applyBorder="1" fontId="9" applyFont="1" fillId="16" applyFill="1" applyAlignment="1">
      <alignment horizontal="center"/>
    </xf>
    <xf xfId="0" numFmtId="0" borderId="41" applyBorder="1" fontId="9" applyFont="1" fillId="16" applyFill="1" applyAlignment="1">
      <alignment horizontal="center"/>
    </xf>
    <xf xfId="0" numFmtId="0" borderId="25" applyBorder="1" fontId="26" applyFont="1" fillId="17" applyFill="1" applyAlignment="1">
      <alignment horizontal="center"/>
    </xf>
    <xf xfId="0" numFmtId="0" borderId="2" applyBorder="1" fontId="26" applyFont="1" fillId="17" applyFill="1" applyAlignment="1">
      <alignment horizontal="center"/>
    </xf>
    <xf xfId="0" numFmtId="0" borderId="41" applyBorder="1" fontId="26" applyFont="1" fillId="17" applyFill="1" applyAlignment="1">
      <alignment horizontal="center"/>
    </xf>
    <xf xfId="0" numFmtId="166" applyNumberFormat="1" borderId="25" applyBorder="1" fontId="9" applyFont="1" fillId="14" applyFill="1" applyAlignment="1">
      <alignment horizontal="center"/>
    </xf>
    <xf xfId="0" numFmtId="0" borderId="2" applyBorder="1" fontId="7" applyFont="1" fillId="14" applyFill="1" applyAlignment="1">
      <alignment horizontal="center"/>
    </xf>
    <xf xfId="0" numFmtId="0" borderId="2" applyBorder="1" fontId="14" applyFont="1" fillId="14" applyFill="1" applyAlignment="1">
      <alignment horizontal="center"/>
    </xf>
    <xf xfId="0" numFmtId="0" borderId="2" applyBorder="1" fontId="25" applyFont="1" fillId="0" applyAlignment="1">
      <alignment horizontal="center"/>
    </xf>
    <xf xfId="0" numFmtId="0" borderId="2" applyBorder="1" fontId="9" applyFont="1" fillId="0" applyAlignment="1">
      <alignment horizontal="center"/>
    </xf>
    <xf xfId="0" numFmtId="0" borderId="41" applyBorder="1" fontId="9" applyFont="1" fillId="0" applyAlignment="1">
      <alignment horizontal="center"/>
    </xf>
    <xf xfId="0" numFmtId="0" borderId="2" applyBorder="1" fontId="26" applyFont="1" fillId="4" applyFill="1" applyAlignment="1">
      <alignment horizontal="center"/>
    </xf>
    <xf xfId="0" numFmtId="0" borderId="41" applyBorder="1" fontId="26" applyFont="1" fillId="4" applyFill="1" applyAlignment="1">
      <alignment horizontal="center"/>
    </xf>
    <xf xfId="0" numFmtId="166" applyNumberFormat="1" borderId="28" applyBorder="1" fontId="9" applyFont="1" fillId="0" applyAlignment="1">
      <alignment horizontal="center"/>
    </xf>
    <xf xfId="0" numFmtId="0" borderId="2" applyBorder="1" fontId="27" applyFont="1" fillId="0" applyAlignment="1">
      <alignment horizontal="center" wrapText="1"/>
    </xf>
    <xf xfId="0" numFmtId="0" borderId="2" applyBorder="1" fontId="7" applyFont="1" fillId="0" applyAlignment="1">
      <alignment horizontal="center"/>
    </xf>
    <xf xfId="0" numFmtId="0" borderId="25" applyBorder="1" fontId="7" applyFont="1" fillId="14" applyFill="1" applyAlignment="1">
      <alignment horizontal="center"/>
    </xf>
    <xf xfId="0" numFmtId="0" borderId="2" applyBorder="1" fontId="14" applyFont="1" fillId="14" applyFill="1" applyAlignment="1">
      <alignment horizontal="center" wrapText="1"/>
    </xf>
    <xf xfId="0" numFmtId="0" borderId="2" applyBorder="1" fontId="27" applyFont="1" fillId="14" applyFill="1" applyAlignment="1">
      <alignment horizontal="center"/>
    </xf>
    <xf xfId="0" numFmtId="0" borderId="2" applyBorder="1" fontId="9" applyFont="1" fillId="16" applyFill="1" applyAlignment="1">
      <alignment horizontal="center"/>
    </xf>
    <xf xfId="0" numFmtId="0" borderId="2" applyBorder="1" fontId="9" applyFont="1" fillId="25" applyFill="1" applyAlignment="1">
      <alignment horizontal="center"/>
    </xf>
    <xf xfId="0" numFmtId="0" borderId="24" applyBorder="1" fontId="9" applyFont="1" fillId="25" applyFill="1" applyAlignment="1">
      <alignment horizontal="center"/>
    </xf>
    <xf xfId="0" numFmtId="166" applyNumberFormat="1" borderId="2" applyBorder="1" fontId="9" applyFont="1" fillId="25" applyFill="1" applyAlignment="1">
      <alignment horizontal="center"/>
    </xf>
    <xf xfId="0" numFmtId="0" borderId="2" applyBorder="1" fontId="14" applyFont="1" fillId="25" applyFill="1" applyAlignment="1">
      <alignment horizontal="center" wrapText="1"/>
    </xf>
    <xf xfId="0" numFmtId="0" borderId="2" applyBorder="1" fontId="25" applyFont="1" fillId="25" applyFill="1" applyAlignment="1">
      <alignment horizontal="center"/>
    </xf>
    <xf xfId="0" numFmtId="0" borderId="2" applyBorder="1" fontId="9" applyFont="1" fillId="25" applyFill="1" applyAlignment="1">
      <alignment horizontal="center" wrapText="1"/>
    </xf>
    <xf xfId="0" numFmtId="0" borderId="21" applyBorder="1" fontId="9" applyFont="1" fillId="26" applyFill="1" applyAlignment="1">
      <alignment horizontal="center"/>
    </xf>
    <xf xfId="0" numFmtId="166" applyNumberFormat="1" borderId="21" applyBorder="1" fontId="9" applyFont="1" fillId="26" applyFill="1" applyAlignment="1">
      <alignment horizontal="center"/>
    </xf>
    <xf xfId="0" numFmtId="0" borderId="21" applyBorder="1" fontId="7" applyFont="1" fillId="26" applyFill="1" applyAlignment="1">
      <alignment horizontal="center"/>
    </xf>
    <xf xfId="0" numFmtId="0" borderId="2" applyBorder="1" fontId="9" applyFont="1" fillId="26" applyFill="1" applyAlignment="1">
      <alignment horizontal="center"/>
    </xf>
    <xf xfId="0" numFmtId="166" applyNumberFormat="1" borderId="2" applyBorder="1" fontId="9" applyFont="1" fillId="26" applyFill="1" applyAlignment="1">
      <alignment horizontal="center"/>
    </xf>
    <xf xfId="0" numFmtId="0" borderId="2" applyBorder="1" fontId="14" applyFont="1" fillId="26" applyFill="1" applyAlignment="1">
      <alignment horizontal="center" wrapText="1"/>
    </xf>
    <xf xfId="0" numFmtId="0" borderId="2" applyBorder="1" fontId="27" applyFont="1" fillId="26" applyFill="1" applyAlignment="1">
      <alignment horizontal="center" wrapText="1"/>
    </xf>
    <xf xfId="0" numFmtId="0" borderId="2" applyBorder="1" fontId="27" applyFont="1" fillId="26" applyFill="1" applyAlignment="1">
      <alignment horizontal="center"/>
    </xf>
    <xf xfId="0" numFmtId="0" borderId="2" applyBorder="1" fontId="7" applyFont="1" fillId="26" applyFill="1" applyAlignment="1">
      <alignment horizontal="center"/>
    </xf>
    <xf xfId="0" numFmtId="0" borderId="2" applyBorder="1" fontId="7" applyFont="1" fillId="26" applyFill="1" applyAlignment="1">
      <alignment horizontal="center" wrapText="1"/>
    </xf>
    <xf xfId="0" numFmtId="0" borderId="1" applyBorder="1" fontId="9" applyFont="1" fillId="0" applyAlignment="1">
      <alignment horizontal="center" vertical="top"/>
    </xf>
    <xf xfId="0" numFmtId="0" borderId="2" applyBorder="1" fontId="25" applyFont="1" fillId="26" applyFill="1" applyAlignment="1">
      <alignment horizontal="center" vertical="top"/>
    </xf>
    <xf xfId="0" numFmtId="0" borderId="2" applyBorder="1" fontId="9" applyFont="1" fillId="26" applyFill="1" applyAlignment="1">
      <alignment horizontal="center" wrapText="1"/>
    </xf>
    <xf xfId="0" numFmtId="0" borderId="2" applyBorder="1" fontId="9" applyFont="1" fillId="26" applyFill="1" applyAlignment="1">
      <alignment horizontal="center" vertical="top"/>
    </xf>
    <xf xfId="0" numFmtId="166" applyNumberFormat="1" borderId="2" applyBorder="1" fontId="9" applyFont="1" fillId="26" applyFill="1" applyAlignment="1">
      <alignment horizontal="center" vertical="top"/>
    </xf>
    <xf xfId="0" numFmtId="0" borderId="2" applyBorder="1" fontId="7" applyFont="1" fillId="26" applyFill="1" applyAlignment="1">
      <alignment horizontal="center" vertical="top"/>
    </xf>
    <xf xfId="0" numFmtId="0" borderId="2" applyBorder="1" fontId="25" applyFont="1" fillId="26" applyFill="1" applyAlignment="1">
      <alignment horizontal="center"/>
    </xf>
    <xf xfId="0" numFmtId="166" applyNumberFormat="1" borderId="0" fontId="0" fillId="0" applyAlignment="1">
      <alignment horizontal="center"/>
    </xf>
    <xf xfId="0" numFmtId="0" borderId="5" applyBorder="1" fontId="3" applyFont="1" fillId="0" applyAlignment="1">
      <alignment horizontal="center"/>
    </xf>
    <xf xfId="0" numFmtId="0" borderId="3" applyBorder="1" fontId="3" applyFont="1" fillId="0" applyAlignment="1">
      <alignment horizontal="left"/>
    </xf>
    <xf xfId="0" numFmtId="0" borderId="8" applyBorder="1" fontId="1" applyFont="1" fillId="0" applyAlignment="1">
      <alignment horizontal="center"/>
    </xf>
    <xf xfId="0" numFmtId="164" applyNumberFormat="1" borderId="9" applyBorder="1" fontId="1" applyFont="1" fillId="9" applyFill="1" applyAlignment="1">
      <alignment horizontal="left" wrapText="1"/>
    </xf>
    <xf xfId="0" numFmtId="0" borderId="7" applyBorder="1" fontId="1" applyFont="1" fillId="0" applyAlignment="1">
      <alignment horizontal="center"/>
    </xf>
    <xf xfId="0" numFmtId="0" borderId="2" applyBorder="1" fontId="10" applyFont="1" fillId="7" applyFill="1" applyAlignment="1">
      <alignment horizontal="center"/>
    </xf>
    <xf xfId="0" numFmtId="0" borderId="2" applyBorder="1" fontId="11" applyFont="1" fillId="11" applyFill="1" applyAlignment="1">
      <alignment horizontal="center"/>
    </xf>
    <xf xfId="0" numFmtId="3" applyNumberFormat="1" borderId="27" applyBorder="1" fontId="12" applyFont="1" fillId="0" applyAlignment="1">
      <alignment horizontal="center"/>
    </xf>
    <xf xfId="0" numFmtId="3" applyNumberFormat="1" borderId="28" applyBorder="1" fontId="12" applyFont="1" fillId="0" applyAlignment="1">
      <alignment horizontal="center"/>
    </xf>
    <xf xfId="0" numFmtId="3" applyNumberFormat="1" borderId="27" applyBorder="1" fontId="13" applyFont="1" fillId="0" applyAlignment="1">
      <alignment horizontal="center"/>
    </xf>
    <xf xfId="0" numFmtId="3" applyNumberFormat="1" borderId="29" applyBorder="1" fontId="13" applyFont="1" fillId="0" applyAlignment="1">
      <alignment horizontal="center"/>
    </xf>
    <xf xfId="0" numFmtId="3" applyNumberFormat="1" borderId="28" applyBorder="1" fontId="13" applyFont="1" fillId="0" applyAlignment="1">
      <alignment horizontal="center"/>
    </xf>
    <xf xfId="0" numFmtId="20" applyNumberFormat="1" borderId="9" applyBorder="1" fontId="1" applyFont="1" fillId="9" applyFill="1" applyAlignment="1">
      <alignment horizontal="center"/>
    </xf>
    <xf xfId="0" numFmtId="3" applyNumberFormat="1" borderId="9" applyBorder="1" fontId="4" applyFont="1" fillId="3" applyFill="1" applyAlignment="1">
      <alignment horizontal="center"/>
    </xf>
    <xf xfId="0" numFmtId="3" applyNumberFormat="1" borderId="9" applyBorder="1" fontId="1" applyFont="1" fillId="9" applyFill="1" applyAlignment="1">
      <alignment horizontal="center"/>
    </xf>
    <xf xfId="0" numFmtId="3" applyNumberFormat="1" borderId="9" applyBorder="1" fontId="4" applyFont="1" fillId="11" applyFill="1" applyAlignment="1">
      <alignment horizontal="center"/>
    </xf>
    <xf xfId="0" numFmtId="3" applyNumberFormat="1" borderId="9" applyBorder="1" fontId="1" applyFont="1" fillId="14" applyFill="1" applyAlignment="1">
      <alignment horizontal="center"/>
    </xf>
    <xf xfId="0" numFmtId="3" applyNumberFormat="1" borderId="18" applyBorder="1" fontId="21" applyFont="1" fillId="12" applyFill="1" applyAlignment="1">
      <alignment horizontal="center" vertical="top"/>
    </xf>
    <xf xfId="0" numFmtId="3" applyNumberFormat="1" borderId="19" applyBorder="1" fontId="28" applyFont="1" fillId="8" applyFill="1" applyAlignment="1">
      <alignment horizontal="center" vertical="top"/>
    </xf>
    <xf xfId="0" numFmtId="3" applyNumberFormat="1" borderId="20" applyBorder="1" fontId="28" applyFont="1" fillId="8" applyFill="1" applyAlignment="1">
      <alignment horizontal="center"/>
    </xf>
    <xf xfId="0" numFmtId="3" applyNumberFormat="1" borderId="21" applyBorder="1" fontId="21" applyFont="1" fillId="12" applyFill="1" applyAlignment="1">
      <alignment horizontal="center"/>
    </xf>
    <xf xfId="0" numFmtId="3" applyNumberFormat="1" borderId="22" applyBorder="1" fontId="28" applyFont="1" fillId="8" applyFill="1" applyAlignment="1">
      <alignment horizontal="center"/>
    </xf>
    <xf xfId="0" numFmtId="3" applyNumberFormat="1" borderId="23" applyBorder="1" fontId="28" applyFont="1" fillId="8" applyFill="1" applyAlignment="1">
      <alignment horizontal="center"/>
    </xf>
    <xf xfId="0" numFmtId="3" applyNumberFormat="1" borderId="24" applyBorder="1" fontId="29" applyFont="1" fillId="12" applyFill="1" applyAlignment="1">
      <alignment horizontal="center"/>
    </xf>
    <xf xfId="0" numFmtId="3" applyNumberFormat="1" borderId="25" applyBorder="1" fontId="29" applyFont="1" fillId="12" applyFill="1" applyAlignment="1">
      <alignment horizontal="center"/>
    </xf>
    <xf xfId="0" numFmtId="3" applyNumberFormat="1" borderId="26" applyBorder="1" fontId="29" applyFont="1" fillId="12" applyFill="1" applyAlignment="1">
      <alignment horizontal="center"/>
    </xf>
    <xf xfId="0" numFmtId="3" applyNumberFormat="1" borderId="21" applyBorder="1" fontId="30" applyFont="1" fillId="13" applyFill="1" applyAlignment="1">
      <alignment horizontal="center"/>
    </xf>
    <xf xfId="0" numFmtId="3" applyNumberFormat="1" borderId="23" applyBorder="1" fontId="30" applyFont="1" fillId="13" applyFill="1" applyAlignment="1">
      <alignment horizontal="center"/>
    </xf>
    <xf xfId="0" numFmtId="3" applyNumberFormat="1" borderId="21" applyBorder="1" fontId="17" applyFont="1" fillId="10" applyFill="1" applyAlignment="1">
      <alignment horizontal="right"/>
    </xf>
    <xf xfId="0" numFmtId="3" applyNumberFormat="1" borderId="27" applyBorder="1" fontId="31" applyFont="1" fillId="0" applyAlignment="1">
      <alignment horizontal="center"/>
    </xf>
    <xf xfId="0" numFmtId="3" applyNumberFormat="1" borderId="28" applyBorder="1" fontId="31" applyFont="1" fillId="0" applyAlignment="1">
      <alignment horizontal="center"/>
    </xf>
    <xf xfId="0" numFmtId="3" applyNumberFormat="1" borderId="29" applyBorder="1" fontId="32" applyFont="1" fillId="0" applyAlignment="1">
      <alignment horizontal="center"/>
    </xf>
    <xf xfId="0" numFmtId="3" applyNumberFormat="1" borderId="28" applyBorder="1" fontId="32" applyFont="1" fillId="0" applyAlignment="1">
      <alignment horizontal="center"/>
    </xf>
    <xf xfId="0" numFmtId="3" applyNumberFormat="1" borderId="31" applyBorder="1" fontId="4" applyFont="1" fillId="11" applyFill="1" applyAlignment="1">
      <alignment horizontal="center"/>
    </xf>
    <xf xfId="0" numFmtId="3" applyNumberFormat="1" borderId="31" applyBorder="1" fontId="19" applyFont="1" fillId="3" applyFill="1" applyAlignment="1">
      <alignment horizontal="center"/>
    </xf>
    <xf xfId="0" numFmtId="3" applyNumberFormat="1" borderId="31" applyBorder="1" fontId="16" applyFont="1" fillId="6" applyFill="1" applyAlignment="1">
      <alignment horizontal="center"/>
    </xf>
    <xf xfId="0" numFmtId="3" applyNumberFormat="1" borderId="31" applyBorder="1" fontId="14" applyFont="1" fillId="3" applyFill="1" applyAlignment="1">
      <alignment horizontal="center" wrapText="1"/>
    </xf>
    <xf xfId="0" numFmtId="3" applyNumberFormat="1" borderId="31" applyBorder="1" fontId="9" applyFont="1" fillId="6" applyFill="1" applyAlignment="1">
      <alignment horizontal="center" wrapText="1"/>
    </xf>
    <xf xfId="0" numFmtId="3" applyNumberFormat="1" borderId="31" applyBorder="1" fontId="19" applyFont="1" fillId="3" applyFill="1" applyAlignment="1">
      <alignment horizontal="center" wrapText="1"/>
    </xf>
    <xf xfId="0" numFmtId="3" applyNumberFormat="1" borderId="31" applyBorder="1" fontId="16" applyFont="1" fillId="6" applyFill="1" applyAlignment="1">
      <alignment horizontal="center" wrapText="1"/>
    </xf>
    <xf xfId="0" numFmtId="3" applyNumberFormat="1" borderId="31" applyBorder="1" fontId="14" applyFont="1" fillId="11" applyFill="1" applyAlignment="1">
      <alignment horizontal="center"/>
    </xf>
    <xf xfId="0" numFmtId="3" applyNumberFormat="1" borderId="9" applyBorder="1" fontId="4" applyFont="1" fillId="18" applyFill="1" applyAlignment="1">
      <alignment horizontal="center"/>
    </xf>
    <xf xfId="0" numFmtId="3" applyNumberFormat="1" borderId="9" applyBorder="1" fontId="4" applyFont="1" fillId="15" applyFill="1" applyAlignment="1">
      <alignment horizontal="center"/>
    </xf>
    <xf xfId="0" numFmtId="3" applyNumberFormat="1" borderId="9" applyBorder="1" fontId="4" applyFont="1" fillId="21" applyFill="1" applyAlignment="1">
      <alignment horizontal="center"/>
    </xf>
    <xf xfId="0" numFmtId="3" applyNumberFormat="1" borderId="9" applyBorder="1" fontId="4" applyFont="1" fillId="22" applyFill="1" applyAlignment="1">
      <alignment horizontal="center"/>
    </xf>
    <xf xfId="0" numFmtId="3" applyNumberFormat="1" borderId="9" applyBorder="1" fontId="14" applyFont="1" fillId="23" applyFill="1" applyAlignment="1">
      <alignment horizontal="center"/>
    </xf>
    <xf xfId="0" numFmtId="3" applyNumberFormat="1" borderId="42" applyBorder="1" fontId="33" applyFont="1" fillId="8" applyFill="1" applyAlignment="1">
      <alignment horizontal="center" vertical="top"/>
    </xf>
    <xf xfId="0" numFmtId="164" applyNumberFormat="1" borderId="43" applyBorder="1" fontId="33" applyFont="1" fillId="8" applyFill="1" applyAlignment="1">
      <alignment horizontal="center"/>
    </xf>
    <xf xfId="0" numFmtId="164" applyNumberFormat="1" borderId="44" applyBorder="1" fontId="33" applyFont="1" fillId="8" applyFill="1" applyAlignment="1">
      <alignment horizontal="center"/>
    </xf>
    <xf xfId="0" numFmtId="3" applyNumberFormat="1" borderId="8" applyBorder="1" fontId="16" applyFont="1" fillId="0" applyAlignment="1">
      <alignment horizontal="center"/>
    </xf>
    <xf xfId="0" numFmtId="3" applyNumberFormat="1" borderId="45" applyBorder="1" fontId="33" applyFont="1" fillId="8" applyFill="1" applyAlignment="1">
      <alignment horizontal="center"/>
    </xf>
    <xf xfId="0" numFmtId="164" applyNumberFormat="1" borderId="46" applyBorder="1" fontId="33" applyFont="1" fillId="8" applyFill="1" applyAlignment="1">
      <alignment horizontal="center"/>
    </xf>
    <xf xfId="0" numFmtId="164" applyNumberFormat="1" borderId="34" applyBorder="1" fontId="33" applyFont="1" fillId="8" applyFill="1" applyAlignment="1">
      <alignment horizontal="center"/>
    </xf>
    <xf xfId="0" numFmtId="3" applyNumberFormat="1" borderId="47" applyBorder="1" fontId="16" applyFont="1" fillId="27" applyFill="1" applyAlignment="1">
      <alignment horizontal="center" vertical="top"/>
    </xf>
    <xf xfId="0" numFmtId="164" applyNumberFormat="1" borderId="47" applyBorder="1" fontId="16" applyFont="1" fillId="27" applyFill="1" applyAlignment="1">
      <alignment horizontal="center" vertical="top"/>
    </xf>
    <xf xfId="0" numFmtId="164" applyNumberFormat="1" borderId="47" applyBorder="1" fontId="19" applyFont="1" fillId="27" applyFill="1" applyAlignment="1">
      <alignment horizontal="center" vertical="top"/>
    </xf>
    <xf xfId="0" numFmtId="164" applyNumberFormat="1" borderId="47" applyBorder="1" fontId="16" applyFont="1" fillId="27" applyFill="1" applyAlignment="1">
      <alignment horizontal="left" wrapText="1"/>
    </xf>
    <xf xfId="0" numFmtId="164" applyNumberFormat="1" borderId="47" applyBorder="1" fontId="16" applyFont="1" fillId="27" applyFill="1" applyAlignment="1">
      <alignment horizontal="left" vertical="top"/>
    </xf>
    <xf xfId="0" numFmtId="3" applyNumberFormat="1" borderId="48" applyBorder="1" fontId="16" applyFont="1" fillId="27" applyFill="1" applyAlignment="1">
      <alignment horizontal="center"/>
    </xf>
    <xf xfId="0" numFmtId="164" applyNumberFormat="1" borderId="48" applyBorder="1" fontId="16" applyFont="1" fillId="27" applyFill="1" applyAlignment="1">
      <alignment horizontal="center"/>
    </xf>
    <xf xfId="0" numFmtId="164" applyNumberFormat="1" borderId="48" applyBorder="1" fontId="19" applyFont="1" fillId="27" applyFill="1" applyAlignment="1">
      <alignment horizontal="center"/>
    </xf>
    <xf xfId="0" numFmtId="164" applyNumberFormat="1" borderId="48" applyBorder="1" fontId="16" applyFont="1" fillId="27" applyFill="1" applyAlignment="1">
      <alignment horizontal="left" wrapText="1"/>
    </xf>
    <xf xfId="0" numFmtId="164" applyNumberFormat="1" borderId="48" applyBorder="1" fontId="16" applyFont="1" fillId="27" applyFill="1" applyAlignment="1">
      <alignment horizontal="left"/>
    </xf>
    <xf xfId="0" numFmtId="164" applyNumberFormat="1" borderId="48" applyBorder="1" fontId="21" applyFont="1" fillId="27" applyFill="1" applyAlignment="1">
      <alignment horizontal="left" wrapText="1"/>
    </xf>
    <xf xfId="0" numFmtId="3" applyNumberFormat="1" borderId="49" applyBorder="1" fontId="16" applyFont="1" fillId="27" applyFill="1" applyAlignment="1">
      <alignment horizontal="center"/>
    </xf>
    <xf xfId="0" numFmtId="164" applyNumberFormat="1" borderId="49" applyBorder="1" fontId="16" applyFont="1" fillId="27" applyFill="1" applyAlignment="1">
      <alignment horizontal="center"/>
    </xf>
    <xf xfId="0" numFmtId="164" applyNumberFormat="1" borderId="49" applyBorder="1" fontId="19" applyFont="1" fillId="27" applyFill="1" applyAlignment="1">
      <alignment horizontal="center"/>
    </xf>
    <xf xfId="0" numFmtId="164" applyNumberFormat="1" borderId="49" applyBorder="1" fontId="21" applyFont="1" fillId="27" applyFill="1" applyAlignment="1">
      <alignment horizontal="left" wrapText="1"/>
    </xf>
    <xf xfId="0" numFmtId="164" applyNumberFormat="1" borderId="49" applyBorder="1" fontId="16" applyFont="1" fillId="27" applyFill="1" applyAlignment="1">
      <alignment horizontal="left"/>
    </xf>
    <xf xfId="0" numFmtId="164" applyNumberFormat="1" borderId="47" applyBorder="1" fontId="16" applyFont="1" fillId="27" applyFill="1" applyAlignment="1">
      <alignment horizontal="center" vertical="top" wrapText="1"/>
    </xf>
    <xf xfId="0" numFmtId="164" applyNumberFormat="1" borderId="47" applyBorder="1" fontId="16" applyFont="1" fillId="27" applyFill="1" applyAlignment="1">
      <alignment horizontal="center" wrapText="1"/>
    </xf>
    <xf xfId="0" numFmtId="164" applyNumberFormat="1" borderId="47" applyBorder="1" fontId="16" applyFont="1" fillId="27" applyFill="1" applyAlignment="1">
      <alignment horizontal="left" vertical="top" wrapText="1"/>
    </xf>
    <xf xfId="0" numFmtId="164" applyNumberFormat="1" borderId="48" applyBorder="1" fontId="16" applyFont="1" fillId="27" applyFill="1" applyAlignment="1">
      <alignment horizontal="center" wrapText="1"/>
    </xf>
    <xf xfId="0" numFmtId="164" applyNumberFormat="1" borderId="49" applyBorder="1" fontId="16" applyFont="1" fillId="27" applyFill="1" applyAlignment="1">
      <alignment horizontal="center" wrapText="1"/>
    </xf>
    <xf xfId="0" numFmtId="164" applyNumberFormat="1" borderId="49" applyBorder="1" fontId="16" applyFont="1" fillId="27" applyFill="1" applyAlignment="1">
      <alignment horizontal="left" wrapText="1"/>
    </xf>
    <xf xfId="0" numFmtId="3" applyNumberFormat="1" borderId="47" applyBorder="1" fontId="18" applyFont="1" fillId="27" applyFill="1" applyAlignment="1">
      <alignment horizontal="center" vertical="top"/>
    </xf>
    <xf xfId="0" numFmtId="164" applyNumberFormat="1" borderId="47" applyBorder="1" fontId="18" applyFont="1" fillId="27" applyFill="1" applyAlignment="1">
      <alignment horizontal="center" vertical="top"/>
    </xf>
    <xf xfId="0" numFmtId="164" applyNumberFormat="1" borderId="47" applyBorder="1" fontId="34" applyFont="1" fillId="27" applyFill="1" applyAlignment="1">
      <alignment horizontal="left" wrapText="1"/>
    </xf>
    <xf xfId="0" numFmtId="164" applyNumberFormat="1" borderId="47" applyBorder="1" fontId="18" applyFont="1" fillId="27" applyFill="1" applyAlignment="1">
      <alignment horizontal="left" vertical="top"/>
    </xf>
    <xf xfId="0" numFmtId="3" applyNumberFormat="1" borderId="49" applyBorder="1" fontId="18" applyFont="1" fillId="27" applyFill="1" applyAlignment="1">
      <alignment horizontal="center"/>
    </xf>
    <xf xfId="0" numFmtId="164" applyNumberFormat="1" borderId="49" applyBorder="1" fontId="18" applyFont="1" fillId="27" applyFill="1" applyAlignment="1">
      <alignment horizontal="center"/>
    </xf>
    <xf xfId="0" numFmtId="164" applyNumberFormat="1" borderId="49" applyBorder="1" fontId="34" applyFont="1" fillId="27" applyFill="1" applyAlignment="1">
      <alignment horizontal="left" wrapText="1"/>
    </xf>
    <xf xfId="0" numFmtId="164" applyNumberFormat="1" borderId="49" applyBorder="1" fontId="18" applyFont="1" fillId="27" applyFill="1" applyAlignment="1">
      <alignment horizontal="left"/>
    </xf>
    <xf xfId="0" numFmtId="164" applyNumberFormat="1" borderId="48" applyBorder="1" fontId="19" applyFont="1" fillId="27" applyFill="1" applyAlignment="1">
      <alignment horizontal="left" wrapText="1"/>
    </xf>
    <xf xfId="0" numFmtId="164" applyNumberFormat="1" borderId="49" applyBorder="1" fontId="19" applyFont="1" fillId="27" applyFill="1" applyAlignment="1">
      <alignment horizontal="left" wrapText="1"/>
    </xf>
    <xf xfId="0" numFmtId="164" applyNumberFormat="1" borderId="47" applyBorder="1" fontId="34" applyFont="1" fillId="27" applyFill="1" applyAlignment="1">
      <alignment horizontal="center" vertical="top"/>
    </xf>
    <xf xfId="0" numFmtId="164" applyNumberFormat="1" borderId="48" applyBorder="1" fontId="34" applyFont="1" fillId="27" applyFill="1" applyAlignment="1">
      <alignment horizontal="center"/>
    </xf>
    <xf xfId="0" numFmtId="164" applyNumberFormat="1" borderId="49" applyBorder="1" fontId="34" applyFont="1" fillId="27" applyFill="1" applyAlignment="1">
      <alignment horizontal="center"/>
    </xf>
    <xf xfId="0" numFmtId="164" applyNumberFormat="1" borderId="50" applyBorder="1" fontId="16" applyFont="1" fillId="27" applyFill="1" applyAlignment="1">
      <alignment horizontal="left" wrapText="1"/>
    </xf>
    <xf xfId="0" numFmtId="164" applyNumberFormat="1" borderId="50" applyBorder="1" fontId="21" applyFont="1" fillId="27" applyFill="1" applyAlignment="1">
      <alignment horizontal="left" wrapText="1"/>
    </xf>
    <xf xfId="0" numFmtId="164" applyNumberFormat="1" borderId="50" applyBorder="1" fontId="19" applyFont="1" fillId="27" applyFill="1" applyAlignment="1">
      <alignment horizontal="left" wrapText="1"/>
    </xf>
    <xf xfId="0" numFmtId="164" applyNumberFormat="1" borderId="47" applyBorder="1" fontId="35" applyFont="1" fillId="27" applyFill="1" applyAlignment="1">
      <alignment horizontal="center" vertical="top"/>
    </xf>
    <xf xfId="0" numFmtId="164" applyNumberFormat="1" borderId="49" applyBorder="1" fontId="35" applyFont="1" fillId="27" applyFill="1" applyAlignment="1">
      <alignment horizontal="center"/>
    </xf>
    <xf xfId="0" numFmtId="3" applyNumberFormat="1" borderId="9" applyBorder="1" fontId="16" applyFont="1" fillId="27" applyFill="1" applyAlignment="1">
      <alignment horizontal="center"/>
    </xf>
    <xf xfId="0" numFmtId="164" applyNumberFormat="1" borderId="9" applyBorder="1" fontId="16" applyFont="1" fillId="27" applyFill="1" applyAlignment="1">
      <alignment horizontal="center" wrapText="1"/>
    </xf>
    <xf xfId="0" numFmtId="164" applyNumberFormat="1" borderId="9" applyBorder="1" fontId="16" applyFont="1" fillId="27" applyFill="1" applyAlignment="1">
      <alignment horizontal="center"/>
    </xf>
    <xf xfId="0" numFmtId="164" applyNumberFormat="1" borderId="9" applyBorder="1" fontId="16" applyFont="1" fillId="27" applyFill="1" applyAlignment="1">
      <alignment horizontal="left" wrapText="1"/>
    </xf>
    <xf xfId="0" numFmtId="164" applyNumberFormat="1" borderId="9" applyBorder="1" fontId="16" applyFont="1" fillId="27" applyFill="1" applyAlignment="1">
      <alignment horizontal="left"/>
    </xf>
    <xf xfId="0" numFmtId="3" applyNumberFormat="1" borderId="47" applyBorder="1" fontId="16" applyFont="1" fillId="17" applyFill="1" applyAlignment="1">
      <alignment horizontal="center" vertical="top"/>
    </xf>
    <xf xfId="0" numFmtId="164" applyNumberFormat="1" borderId="47" applyBorder="1" fontId="16" applyFont="1" fillId="17" applyFill="1" applyAlignment="1">
      <alignment horizontal="center" vertical="top" wrapText="1"/>
    </xf>
    <xf xfId="0" numFmtId="164" applyNumberFormat="1" borderId="47" applyBorder="1" fontId="16" applyFont="1" fillId="17" applyFill="1" applyAlignment="1">
      <alignment horizontal="center" vertical="top"/>
    </xf>
    <xf xfId="0" numFmtId="164" applyNumberFormat="1" borderId="47" applyBorder="1" fontId="16" applyFont="1" fillId="17" applyFill="1" applyAlignment="1">
      <alignment horizontal="left" wrapText="1"/>
    </xf>
    <xf xfId="0" numFmtId="164" applyNumberFormat="1" borderId="47" applyBorder="1" fontId="16" applyFont="1" fillId="17" applyFill="1" applyAlignment="1">
      <alignment horizontal="left" vertical="top" wrapText="1"/>
    </xf>
    <xf xfId="0" numFmtId="3" applyNumberFormat="1" borderId="48" applyBorder="1" fontId="16" applyFont="1" fillId="17" applyFill="1" applyAlignment="1">
      <alignment horizontal="center"/>
    </xf>
    <xf xfId="0" numFmtId="164" applyNumberFormat="1" borderId="48" applyBorder="1" fontId="16" applyFont="1" fillId="17" applyFill="1" applyAlignment="1">
      <alignment horizontal="center" wrapText="1"/>
    </xf>
    <xf xfId="0" numFmtId="164" applyNumberFormat="1" borderId="48" applyBorder="1" fontId="16" applyFont="1" fillId="17" applyFill="1" applyAlignment="1">
      <alignment horizontal="center"/>
    </xf>
    <xf xfId="0" numFmtId="164" applyNumberFormat="1" borderId="48" applyBorder="1" fontId="19" applyFont="1" fillId="17" applyFill="1" applyAlignment="1">
      <alignment horizontal="left" wrapText="1"/>
    </xf>
    <xf xfId="0" numFmtId="164" applyNumberFormat="1" borderId="48" applyBorder="1" fontId="16" applyFont="1" fillId="17" applyFill="1" applyAlignment="1">
      <alignment horizontal="left" wrapText="1"/>
    </xf>
    <xf xfId="0" numFmtId="3" applyNumberFormat="1" borderId="49" applyBorder="1" fontId="16" applyFont="1" fillId="17" applyFill="1" applyAlignment="1">
      <alignment horizontal="center"/>
    </xf>
    <xf xfId="0" numFmtId="164" applyNumberFormat="1" borderId="49" applyBorder="1" fontId="16" applyFont="1" fillId="17" applyFill="1" applyAlignment="1">
      <alignment horizontal="center" wrapText="1"/>
    </xf>
    <xf xfId="0" numFmtId="164" applyNumberFormat="1" borderId="49" applyBorder="1" fontId="16" applyFont="1" fillId="17" applyFill="1" applyAlignment="1">
      <alignment horizontal="center"/>
    </xf>
    <xf xfId="0" numFmtId="164" applyNumberFormat="1" borderId="49" applyBorder="1" fontId="19" applyFont="1" fillId="17" applyFill="1" applyAlignment="1">
      <alignment horizontal="left" wrapText="1"/>
    </xf>
    <xf xfId="0" numFmtId="164" applyNumberFormat="1" borderId="49" applyBorder="1" fontId="16" applyFont="1" fillId="17" applyFill="1" applyAlignment="1">
      <alignment horizontal="left" wrapText="1"/>
    </xf>
    <xf xfId="0" numFmtId="3" applyNumberFormat="1" borderId="9" applyBorder="1" fontId="16" applyFont="1" fillId="27" applyFill="1" applyAlignment="1">
      <alignment horizontal="center" wrapText="1"/>
    </xf>
    <xf xfId="0" numFmtId="164" applyNumberFormat="1" borderId="31" applyBorder="1" fontId="16" applyFont="1" fillId="27" applyFill="1" applyAlignment="1">
      <alignment horizontal="center"/>
    </xf>
    <xf xfId="0" numFmtId="164" applyNumberFormat="1" borderId="33" applyBorder="1" fontId="16" applyFont="1" fillId="27" applyFill="1" applyAlignment="1">
      <alignment horizontal="center"/>
    </xf>
    <xf xfId="0" numFmtId="3" applyNumberFormat="1" borderId="47" applyBorder="1" fontId="16" applyFont="1" fillId="15" applyFill="1" applyAlignment="1">
      <alignment horizontal="center" vertical="top"/>
    </xf>
    <xf xfId="0" numFmtId="164" applyNumberFormat="1" borderId="47" applyBorder="1" fontId="16" applyFont="1" fillId="15" applyFill="1" applyAlignment="1">
      <alignment horizontal="center" vertical="top" wrapText="1"/>
    </xf>
    <xf xfId="0" numFmtId="164" applyNumberFormat="1" borderId="47" applyBorder="1" fontId="16" applyFont="1" fillId="15" applyFill="1" applyAlignment="1">
      <alignment horizontal="center" vertical="top"/>
    </xf>
    <xf xfId="0" numFmtId="164" applyNumberFormat="1" borderId="47" applyBorder="1" fontId="16" applyFont="1" fillId="15" applyFill="1" applyAlignment="1">
      <alignment horizontal="left" wrapText="1"/>
    </xf>
    <xf xfId="0" numFmtId="3" applyNumberFormat="1" borderId="48" applyBorder="1" fontId="16" applyFont="1" fillId="15" applyFill="1" applyAlignment="1">
      <alignment horizontal="center"/>
    </xf>
    <xf xfId="0" numFmtId="164" applyNumberFormat="1" borderId="48" applyBorder="1" fontId="16" applyFont="1" fillId="15" applyFill="1" applyAlignment="1">
      <alignment horizontal="center" wrapText="1"/>
    </xf>
    <xf xfId="0" numFmtId="164" applyNumberFormat="1" borderId="48" applyBorder="1" fontId="16" applyFont="1" fillId="15" applyFill="1" applyAlignment="1">
      <alignment horizontal="center"/>
    </xf>
    <xf xfId="0" numFmtId="164" applyNumberFormat="1" borderId="48" applyBorder="1" fontId="21" applyFont="1" fillId="15" applyFill="1" applyAlignment="1">
      <alignment horizontal="left" wrapText="1"/>
    </xf>
    <xf xfId="0" numFmtId="164" applyNumberFormat="1" borderId="48" applyBorder="1" fontId="19" applyFont="1" fillId="15" applyFill="1" applyAlignment="1">
      <alignment horizontal="left" wrapText="1"/>
    </xf>
    <xf xfId="0" numFmtId="3" applyNumberFormat="1" borderId="49" applyBorder="1" fontId="16" applyFont="1" fillId="15" applyFill="1" applyAlignment="1">
      <alignment horizontal="center"/>
    </xf>
    <xf xfId="0" numFmtId="164" applyNumberFormat="1" borderId="49" applyBorder="1" fontId="16" applyFont="1" fillId="15" applyFill="1" applyAlignment="1">
      <alignment horizontal="center" wrapText="1"/>
    </xf>
    <xf xfId="0" numFmtId="164" applyNumberFormat="1" borderId="49" applyBorder="1" fontId="16" applyFont="1" fillId="15" applyFill="1" applyAlignment="1">
      <alignment horizontal="center"/>
    </xf>
    <xf xfId="0" numFmtId="164" applyNumberFormat="1" borderId="49" applyBorder="1" fontId="21" applyFont="1" fillId="15" applyFill="1" applyAlignment="1">
      <alignment horizontal="left" wrapText="1"/>
    </xf>
    <xf xfId="0" numFmtId="164" applyNumberFormat="1" borderId="49" applyBorder="1" fontId="19" applyFont="1" fillId="15" applyFill="1" applyAlignment="1">
      <alignment horizontal="left" wrapText="1"/>
    </xf>
    <xf xfId="0" numFmtId="3" applyNumberFormat="1" borderId="9" applyBorder="1" fontId="16" applyFont="1" fillId="14" applyFill="1" applyAlignment="1">
      <alignment horizontal="center"/>
    </xf>
    <xf xfId="0" numFmtId="164" applyNumberFormat="1" borderId="9" applyBorder="1" fontId="16" applyFont="1" fillId="14" applyFill="1" applyAlignment="1">
      <alignment horizontal="center"/>
    </xf>
    <xf xfId="0" numFmtId="164" applyNumberFormat="1" borderId="9" applyBorder="1" fontId="16" applyFont="1" fillId="14" applyFill="1" applyAlignment="1">
      <alignment horizontal="left"/>
    </xf>
    <xf xfId="0" numFmtId="164" applyNumberFormat="1" borderId="9" applyBorder="1" fontId="16" applyFont="1" fillId="14" applyFill="1" applyAlignment="1">
      <alignment horizontal="left" wrapText="1"/>
    </xf>
    <xf xfId="0" numFmtId="3" applyNumberFormat="1" borderId="9" applyBorder="1" fontId="16" applyFont="1" fillId="14" applyFill="1" applyAlignment="1">
      <alignment horizontal="center" wrapText="1"/>
    </xf>
    <xf xfId="0" numFmtId="164" applyNumberFormat="1" borderId="9" applyBorder="1" fontId="16" applyFont="1" fillId="14" applyFill="1" applyAlignment="1">
      <alignment horizontal="center" wrapText="1"/>
    </xf>
    <xf xfId="0" numFmtId="164" applyNumberFormat="1" borderId="31" applyBorder="1" fontId="16" applyFont="1" fillId="14" applyFill="1" applyAlignment="1">
      <alignment horizontal="center"/>
    </xf>
    <xf xfId="0" numFmtId="164" applyNumberFormat="1" borderId="33" applyBorder="1" fontId="16" applyFont="1" fillId="14" applyFill="1" applyAlignment="1">
      <alignment horizontal="center"/>
    </xf>
    <xf xfId="0" numFmtId="164" applyNumberFormat="1" borderId="31" applyBorder="1" fontId="16" applyFont="1" fillId="14" applyFill="1" applyAlignment="1">
      <alignment horizontal="center" wrapText="1"/>
    </xf>
    <xf xfId="0" numFmtId="3" applyNumberFormat="1" borderId="47" applyBorder="1" fontId="16" applyFont="1" fillId="14" applyFill="1" applyAlignment="1">
      <alignment horizontal="center" vertical="top"/>
    </xf>
    <xf xfId="0" numFmtId="164" applyNumberFormat="1" borderId="47" applyBorder="1" fontId="16" applyFont="1" fillId="14" applyFill="1" applyAlignment="1">
      <alignment horizontal="center" vertical="top"/>
    </xf>
    <xf xfId="0" numFmtId="164" applyNumberFormat="1" borderId="47" applyBorder="1" fontId="16" applyFont="1" fillId="14" applyFill="1" applyAlignment="1">
      <alignment horizontal="left" wrapText="1"/>
    </xf>
    <xf xfId="0" numFmtId="164" applyNumberFormat="1" borderId="47" applyBorder="1" fontId="16" applyFont="1" fillId="14" applyFill="1" applyAlignment="1">
      <alignment horizontal="left" vertical="top"/>
    </xf>
    <xf xfId="0" numFmtId="3" applyNumberFormat="1" borderId="49" applyBorder="1" fontId="16" applyFont="1" fillId="14" applyFill="1" applyAlignment="1">
      <alignment horizontal="center"/>
    </xf>
    <xf xfId="0" numFmtId="164" applyNumberFormat="1" borderId="49" applyBorder="1" fontId="16" applyFont="1" fillId="14" applyFill="1" applyAlignment="1">
      <alignment horizontal="center"/>
    </xf>
    <xf xfId="0" numFmtId="164" applyNumberFormat="1" borderId="49" applyBorder="1" fontId="21" applyFont="1" fillId="14" applyFill="1" applyAlignment="1">
      <alignment horizontal="left" wrapText="1"/>
    </xf>
    <xf xfId="0" numFmtId="164" applyNumberFormat="1" borderId="49" applyBorder="1" fontId="16" applyFont="1" fillId="14" applyFill="1" applyAlignment="1">
      <alignment horizontal="left"/>
    </xf>
    <xf xfId="0" numFmtId="164" applyNumberFormat="1" borderId="9" applyBorder="1" fontId="1" applyFont="1" fillId="14" applyFill="1" applyAlignment="1">
      <alignment horizontal="center" wrapText="1"/>
    </xf>
    <xf xfId="0" numFmtId="3" applyNumberFormat="1" borderId="32" applyBorder="1" fontId="4" applyFont="1" fillId="11" applyFill="1" applyAlignment="1">
      <alignment horizontal="center"/>
    </xf>
    <xf xfId="0" numFmtId="3" applyNumberFormat="1" borderId="33" applyBorder="1" fontId="4" applyFont="1" fillId="11" applyFill="1" applyAlignment="1">
      <alignment horizontal="center"/>
    </xf>
    <xf xfId="0" numFmtId="3" applyNumberFormat="1" borderId="32" applyBorder="1" fontId="19" applyFont="1" fillId="3" applyFill="1" applyAlignment="1">
      <alignment horizontal="center"/>
    </xf>
    <xf xfId="0" numFmtId="3" applyNumberFormat="1" borderId="33" applyBorder="1" fontId="19" applyFont="1" fillId="3" applyFill="1" applyAlignment="1">
      <alignment horizontal="center"/>
    </xf>
    <xf xfId="0" numFmtId="3" applyNumberFormat="1" borderId="32" applyBorder="1" fontId="14" applyFont="1" fillId="3" applyFill="1" applyAlignment="1">
      <alignment horizontal="center" wrapText="1"/>
    </xf>
    <xf xfId="0" numFmtId="3" applyNumberFormat="1" borderId="33" applyBorder="1" fontId="14" applyFont="1" fillId="3" applyFill="1" applyAlignment="1">
      <alignment horizontal="center" wrapText="1"/>
    </xf>
    <xf xfId="0" numFmtId="3" applyNumberFormat="1" borderId="32" applyBorder="1" fontId="19" applyFont="1" fillId="3" applyFill="1" applyAlignment="1">
      <alignment horizontal="center" wrapText="1"/>
    </xf>
    <xf xfId="0" numFmtId="3" applyNumberFormat="1" borderId="33" applyBorder="1" fontId="19" applyFont="1" fillId="3" applyFill="1" applyAlignment="1">
      <alignment horizontal="center" wrapText="1"/>
    </xf>
    <xf xfId="0" numFmtId="3" applyNumberFormat="1" borderId="32" applyBorder="1" fontId="14" applyFont="1" fillId="11" applyFill="1" applyAlignment="1">
      <alignment horizontal="center"/>
    </xf>
    <xf xfId="0" numFmtId="3" applyNumberFormat="1" borderId="33" applyBorder="1" fontId="14" applyFont="1" fillId="11" applyFill="1" applyAlignment="1">
      <alignment horizontal="center"/>
    </xf>
    <xf xfId="0" numFmtId="3" applyNumberFormat="1" borderId="9" applyBorder="1" fontId="1" applyFont="1" fillId="9" applyFill="1" applyAlignment="1">
      <alignment horizontal="left"/>
    </xf>
    <xf xfId="0" numFmtId="164" applyNumberFormat="1" borderId="9" applyBorder="1" fontId="34" applyFont="1" fillId="14" applyFill="1" applyAlignment="1">
      <alignment horizontal="center"/>
    </xf>
    <xf xfId="0" numFmtId="164" applyNumberFormat="1" borderId="9" applyBorder="1" fontId="34" applyFont="1" fillId="14" applyFill="1" applyAlignment="1">
      <alignment horizontal="left" wrapText="1"/>
    </xf>
    <xf xfId="0" numFmtId="164" applyNumberFormat="1" borderId="9" applyBorder="1" fontId="16" applyFont="1" fillId="0" applyAlignment="1">
      <alignment horizontal="center" wrapText="1"/>
    </xf>
    <xf xfId="0" numFmtId="164" applyNumberFormat="1" borderId="9" applyBorder="1" fontId="16" applyFont="1" fillId="0" applyAlignment="1">
      <alignment horizontal="center"/>
    </xf>
    <xf xfId="0" numFmtId="164" applyNumberFormat="1" borderId="51" applyBorder="1" fontId="16" applyFont="1" fillId="0" applyAlignment="1">
      <alignment horizontal="center"/>
    </xf>
    <xf xfId="0" numFmtId="164" applyNumberFormat="1" borderId="9" applyBorder="1" fontId="16" applyFont="1" fillId="0" applyAlignment="1">
      <alignment horizontal="left" wrapText="1"/>
    </xf>
    <xf xfId="0" numFmtId="3" applyNumberFormat="1" borderId="36" applyBorder="1" fontId="16" applyFont="1" fillId="0" applyAlignment="1">
      <alignment horizontal="center"/>
    </xf>
    <xf xfId="0" numFmtId="3" applyNumberFormat="1" borderId="9" applyBorder="1" fontId="16" applyFont="1" fillId="0" applyAlignment="1">
      <alignment horizontal="center"/>
    </xf>
    <xf xfId="0" numFmtId="164" applyNumberFormat="1" borderId="9" applyBorder="1" fontId="36" applyFont="1" fillId="14" applyFill="1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sharedStrings.xml" Type="http://schemas.openxmlformats.org/officeDocument/2006/relationships/sharedStrings" Id="rId35"/><Relationship Target="styles.xml" Type="http://schemas.openxmlformats.org/officeDocument/2006/relationships/styles" Id="rId36"/><Relationship Target="theme/theme1.xml" Type="http://schemas.openxmlformats.org/officeDocument/2006/relationships/theme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 tabSelected="1"/>
  </sheetViews>
  <sheetFormatPr defaultRowHeight="15" x14ac:dyDescent="0.25"/>
  <cols>
    <col min="1" max="1" style="7" width="13.576428571428572" customWidth="1" bestFit="1" hidden="1"/>
    <col min="2" max="2" style="144" width="13.576428571428572" customWidth="1" bestFit="1" hidden="1"/>
    <col min="3" max="3" style="9" width="8.576428571428572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8.7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8.7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8.7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8.7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8.7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8.7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8.7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8.7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8.7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8.7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60.75">
      <c r="A15" s="1"/>
      <c r="B15" s="20">
        <v>1</v>
      </c>
      <c r="C15" s="224" t="s">
        <v>445</v>
      </c>
      <c r="D15" s="71" t="s">
        <v>446</v>
      </c>
      <c r="E15" s="71" t="s">
        <v>447</v>
      </c>
      <c r="F15" s="71" t="s">
        <v>448</v>
      </c>
      <c r="G15" s="72" t="s">
        <v>449</v>
      </c>
      <c r="H15" s="73" t="s">
        <v>381</v>
      </c>
      <c r="I15" s="74">
        <v>3</v>
      </c>
      <c r="J15" s="74">
        <v>13</v>
      </c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8.7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8.7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8.7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8.7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8.7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8.7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8.7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8.7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8.7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8.7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8.7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8.7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8.7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8.7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8.7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8.7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8.7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8.7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8.7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8.7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8.7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8.7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8.7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8.7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8.7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8.7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8.7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24">
        <f>SUM(K45:K52)</f>
      </c>
      <c r="N43" s="25">
        <f>SUM(L45:L52)</f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8.7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8.7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8.7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8.7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8.7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8.7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8.7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8.7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24">
        <f>SUM(K55:K62)</f>
      </c>
      <c r="N53" s="25">
        <f>SUM(L55:L62)</f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8.7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8.7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8.7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8.7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8.7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8.7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8.7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8.7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8.7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24">
        <f>SUM(K65:K72)</f>
      </c>
      <c r="N63" s="25">
        <f>SUM(L65:L72)</f>
      </c>
      <c r="O63" s="19"/>
      <c r="P63" s="10"/>
      <c r="Q63" s="10"/>
      <c r="R63" s="10"/>
      <c r="S63" s="1"/>
      <c r="T63" s="1"/>
      <c r="U63" s="1"/>
    </row>
    <row x14ac:dyDescent="0.25" r="64" customHeight="1" ht="18.7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8.7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8.7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8.7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8.7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8.7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8.7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8.7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8.7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8.7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24">
        <f>SUM(K75:K82)</f>
      </c>
      <c r="N73" s="25">
        <f>SUM(L75:L82)</f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8.7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8.7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8.7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8.7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8.7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8.7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8.7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8.7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8.7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24">
        <f>SUM(K85:K92)</f>
      </c>
      <c r="N83" s="25">
        <f>SUM(L85:L92)</f>
      </c>
      <c r="O83" s="19"/>
      <c r="P83" s="10"/>
      <c r="Q83" s="10"/>
      <c r="R83" s="10"/>
      <c r="S83" s="1"/>
      <c r="T83" s="1"/>
      <c r="U83" s="1"/>
    </row>
    <row x14ac:dyDescent="0.25" r="84" customHeight="1" ht="18.7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39">
      <c r="A85" s="76"/>
      <c r="B85" s="77"/>
      <c r="C85" s="224">
        <v>1</v>
      </c>
      <c r="D85" s="71" t="s">
        <v>450</v>
      </c>
      <c r="E85" s="355" t="s">
        <v>451</v>
      </c>
      <c r="F85" s="71" t="s">
        <v>452</v>
      </c>
      <c r="G85" s="72" t="s">
        <v>453</v>
      </c>
      <c r="H85" s="73" t="s">
        <v>223</v>
      </c>
      <c r="I85" s="74">
        <v>3</v>
      </c>
      <c r="J85" s="74">
        <v>5</v>
      </c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8.7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8.7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8.7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8.7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8.7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8.7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8.7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8.75" hidden="1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8.75" hidden="1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8.75" hidden="1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8.75" hidden="1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8.75" hidden="1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8.75" hidden="1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8.75" hidden="1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8.75" hidden="1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8.75" hidden="1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8.75" hidden="1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8.7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8.7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8.7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8.7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8.7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8.7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8.7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8.7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8.7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8.7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8.7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8.7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8.7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8.7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8.7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8.7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8.7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8.7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8.7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8.7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8.7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8.7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8.7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8.7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8.7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8.7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8.7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8.7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8.7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8.7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8.7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8.7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8.7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8.75">
      <c r="A136" s="1"/>
      <c r="B136" s="20"/>
      <c r="C136" s="342">
        <v>1</v>
      </c>
      <c r="D136" s="339" t="s">
        <v>397</v>
      </c>
      <c r="E136" s="339" t="s">
        <v>454</v>
      </c>
      <c r="F136" s="344" t="s">
        <v>455</v>
      </c>
      <c r="G136" s="341" t="s">
        <v>456</v>
      </c>
      <c r="H136" s="341" t="s">
        <v>457</v>
      </c>
      <c r="I136" s="74">
        <v>3</v>
      </c>
      <c r="J136" s="74">
        <v>24</v>
      </c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8.7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8.7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8.7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8.7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8.7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8.7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8.7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8.7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8.7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8.7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8.7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8.7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8.7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8.7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8.7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8.7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8.7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8.7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8.7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8.7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8.7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8.7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8.7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8.7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8.7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8.7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8.7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8.7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8.7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8.7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8.7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8.7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8.7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8.7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8.7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8.7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8.7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8.7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8.7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8.7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8.7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8.7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8.7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8.7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8.7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8.7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8.7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8.7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8.7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8.7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8.7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8.7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8.7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8.7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8.7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8.7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8.7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7.57642857142857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27.75">
      <c r="A16" s="1"/>
      <c r="B16" s="20">
        <v>2</v>
      </c>
      <c r="C16" s="342">
        <v>2</v>
      </c>
      <c r="D16" s="343" t="s">
        <v>282</v>
      </c>
      <c r="E16" s="339" t="s">
        <v>436</v>
      </c>
      <c r="F16" s="344" t="s">
        <v>437</v>
      </c>
      <c r="G16" s="341" t="s">
        <v>438</v>
      </c>
      <c r="H16" s="341" t="s">
        <v>238</v>
      </c>
      <c r="I16" s="74">
        <v>3</v>
      </c>
      <c r="J16" s="74">
        <v>5</v>
      </c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342">
        <v>2</v>
      </c>
      <c r="D18" s="369" t="s">
        <v>248</v>
      </c>
      <c r="E18" s="370" t="s">
        <v>439</v>
      </c>
      <c r="F18" s="371" t="s">
        <v>440</v>
      </c>
      <c r="G18" s="372" t="s">
        <v>441</v>
      </c>
      <c r="H18" s="372" t="s">
        <v>381</v>
      </c>
      <c r="I18" s="373">
        <v>3</v>
      </c>
      <c r="J18" s="374">
        <v>13</v>
      </c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>
        <v>2</v>
      </c>
      <c r="D29" s="355" t="s">
        <v>432</v>
      </c>
      <c r="E29" s="71" t="s">
        <v>442</v>
      </c>
      <c r="F29" s="71" t="s">
        <v>443</v>
      </c>
      <c r="G29" s="375" t="s">
        <v>444</v>
      </c>
      <c r="H29" s="73" t="s">
        <v>238</v>
      </c>
      <c r="I29" s="74">
        <v>8</v>
      </c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24">
        <f>SUM(K45:K52)</f>
      </c>
      <c r="N43" s="25">
        <f>SUM(L45:L52)</f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24">
        <f>SUM(K55:K62)</f>
      </c>
      <c r="N53" s="25">
        <f>SUM(L55:L62)</f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24">
        <f>SUM(K65:K72)</f>
      </c>
      <c r="N63" s="25">
        <f>SUM(L65:L72)</f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24">
        <f>SUM(K75:K82)</f>
      </c>
      <c r="N73" s="25">
        <f>SUM(L75:L82)</f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24">
        <f>SUM(K85:K92)</f>
      </c>
      <c r="N83" s="25">
        <f>SUM(L85:L92)</f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24">
        <f>SUM(K95:K102)</f>
      </c>
      <c r="N93" s="25">
        <f>SUM(L95:L102)</f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12.147857142857141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342">
        <v>3</v>
      </c>
      <c r="D19" s="343" t="s">
        <v>432</v>
      </c>
      <c r="E19" s="339" t="s">
        <v>433</v>
      </c>
      <c r="F19" s="344" t="s">
        <v>434</v>
      </c>
      <c r="G19" s="341" t="s">
        <v>435</v>
      </c>
      <c r="H19" s="341" t="s">
        <v>420</v>
      </c>
      <c r="I19" s="74">
        <v>3</v>
      </c>
      <c r="J19" s="74">
        <v>8</v>
      </c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24">
        <f>SUM(K45:K52)</f>
      </c>
      <c r="N43" s="25">
        <f>SUM(L45:L52)</f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24">
        <f>SUM(K55:K62)</f>
      </c>
      <c r="N53" s="25">
        <f>SUM(L55:L62)</f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24">
        <f>SUM(K65:K72)</f>
      </c>
      <c r="N63" s="25">
        <f>SUM(L65:L72)</f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24">
        <f>SUM(K75:K82)</f>
      </c>
      <c r="N73" s="25">
        <f>SUM(L75:L82)</f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24">
        <f>SUM(K85:K92)</f>
      </c>
      <c r="N83" s="25">
        <f>SUM(L85:L92)</f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342">
        <v>4</v>
      </c>
      <c r="D88" s="339" t="s">
        <v>427</v>
      </c>
      <c r="E88" s="339" t="s">
        <v>428</v>
      </c>
      <c r="F88" s="344" t="s">
        <v>429</v>
      </c>
      <c r="G88" s="341" t="s">
        <v>430</v>
      </c>
      <c r="H88" s="341" t="s">
        <v>431</v>
      </c>
      <c r="I88" s="74">
        <v>3</v>
      </c>
      <c r="J88" s="74">
        <v>25</v>
      </c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24">
        <f>SUM(K95:K102)</f>
      </c>
      <c r="N93" s="25">
        <f>SUM(L95:L102)</f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3.576428571428572" customWidth="1" bestFit="1" hidden="1"/>
    <col min="2" max="2" style="144" width="13.576428571428572" customWidth="1" bestFit="1" hidden="1"/>
    <col min="3" max="3" style="9" width="6.005" customWidth="1" bestFit="1"/>
    <col min="4" max="4" style="145" width="10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33.7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19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24.7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20.2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21.7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21.7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22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22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21.7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23.2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21.7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21.7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24.7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20.2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21.7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36.75">
      <c r="A16" s="1"/>
      <c r="B16" s="20">
        <v>2</v>
      </c>
      <c r="C16" s="338">
        <v>5</v>
      </c>
      <c r="D16" s="339" t="s">
        <v>397</v>
      </c>
      <c r="E16" s="343" t="s">
        <v>398</v>
      </c>
      <c r="F16" s="346" t="s">
        <v>399</v>
      </c>
      <c r="G16" s="341" t="s">
        <v>400</v>
      </c>
      <c r="H16" s="340" t="s">
        <v>401</v>
      </c>
      <c r="I16" s="74">
        <v>3</v>
      </c>
      <c r="J16" s="74">
        <v>12</v>
      </c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8.7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8.7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8.7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8.7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8.7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8.7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8.7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8.7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8.7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8.75">
      <c r="A26" s="1"/>
      <c r="B26" s="20">
        <v>2</v>
      </c>
      <c r="C26" s="224">
        <v>5</v>
      </c>
      <c r="D26" s="71" t="s">
        <v>349</v>
      </c>
      <c r="E26" s="355" t="s">
        <v>402</v>
      </c>
      <c r="F26" s="71" t="s">
        <v>403</v>
      </c>
      <c r="G26" s="72" t="s">
        <v>404</v>
      </c>
      <c r="H26" s="73" t="s">
        <v>238</v>
      </c>
      <c r="I26" s="74">
        <v>3</v>
      </c>
      <c r="J26" s="74">
        <v>5</v>
      </c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8.7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8.75">
      <c r="A28" s="1"/>
      <c r="B28" s="20">
        <v>4</v>
      </c>
      <c r="C28" s="224">
        <v>5</v>
      </c>
      <c r="D28" s="339" t="s">
        <v>366</v>
      </c>
      <c r="E28" s="339" t="s">
        <v>405</v>
      </c>
      <c r="F28" s="339" t="s">
        <v>406</v>
      </c>
      <c r="G28" s="340" t="s">
        <v>407</v>
      </c>
      <c r="H28" s="340" t="s">
        <v>353</v>
      </c>
      <c r="I28" s="338">
        <v>3</v>
      </c>
      <c r="J28" s="338">
        <v>13</v>
      </c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8.7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8.7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8.7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8.7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8.7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8.7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8.7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8.7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8.75">
      <c r="A37" s="76"/>
      <c r="B37" s="77"/>
      <c r="C37" s="338">
        <v>5</v>
      </c>
      <c r="D37" s="339" t="s">
        <v>408</v>
      </c>
      <c r="E37" s="339" t="s">
        <v>409</v>
      </c>
      <c r="F37" s="367" t="s">
        <v>410</v>
      </c>
      <c r="G37" s="368" t="s">
        <v>411</v>
      </c>
      <c r="H37" s="368" t="s">
        <v>401</v>
      </c>
      <c r="I37" s="74">
        <v>3</v>
      </c>
      <c r="J37" s="74">
        <v>13</v>
      </c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8.7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8.7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8.7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8.7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8.7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24">
        <f>SUM(K45:K52)</f>
      </c>
      <c r="N43" s="25">
        <f>SUM(L45:L52)</f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8.7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8.7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8.7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8.7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8.7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8.7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8.7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8.7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24">
        <f>SUM(K55:K62)</f>
      </c>
      <c r="N53" s="25">
        <f>SUM(L55:L62)</f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8.7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8.7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8.75">
      <c r="A57" s="76"/>
      <c r="B57" s="77"/>
      <c r="C57" s="224">
        <v>5</v>
      </c>
      <c r="D57" s="355" t="s">
        <v>408</v>
      </c>
      <c r="E57" s="71" t="s">
        <v>412</v>
      </c>
      <c r="F57" s="71" t="s">
        <v>413</v>
      </c>
      <c r="G57" s="72" t="s">
        <v>414</v>
      </c>
      <c r="H57" s="73" t="s">
        <v>238</v>
      </c>
      <c r="I57" s="74">
        <v>3</v>
      </c>
      <c r="J57" s="74">
        <v>5</v>
      </c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8.75">
      <c r="A58" s="76"/>
      <c r="B58" s="77"/>
      <c r="C58" s="224">
        <v>5</v>
      </c>
      <c r="D58" s="355" t="s">
        <v>362</v>
      </c>
      <c r="E58" s="71" t="s">
        <v>415</v>
      </c>
      <c r="F58" s="71" t="s">
        <v>416</v>
      </c>
      <c r="G58" s="73" t="s">
        <v>417</v>
      </c>
      <c r="H58" s="73" t="s">
        <v>252</v>
      </c>
      <c r="I58" s="74">
        <v>3</v>
      </c>
      <c r="J58" s="74">
        <v>19</v>
      </c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8.75">
      <c r="A59" s="76"/>
      <c r="B59" s="77"/>
      <c r="C59" s="224">
        <v>5</v>
      </c>
      <c r="D59" s="355" t="s">
        <v>418</v>
      </c>
      <c r="E59" s="71" t="s">
        <v>415</v>
      </c>
      <c r="F59" s="71" t="s">
        <v>416</v>
      </c>
      <c r="G59" s="72" t="s">
        <v>419</v>
      </c>
      <c r="H59" s="73" t="s">
        <v>420</v>
      </c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8.7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8.7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8.7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8.7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24">
        <f>SUM(K65:K72)</f>
      </c>
      <c r="N63" s="25">
        <f>SUM(L65:L72)</f>
      </c>
      <c r="O63" s="19"/>
      <c r="P63" s="10"/>
      <c r="Q63" s="10"/>
      <c r="R63" s="10"/>
      <c r="S63" s="1"/>
      <c r="T63" s="1"/>
      <c r="U63" s="1"/>
    </row>
    <row x14ac:dyDescent="0.25" r="64" customHeight="1" ht="18.7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8.75">
      <c r="A65" s="76"/>
      <c r="B65" s="77"/>
      <c r="C65" s="224">
        <v>5</v>
      </c>
      <c r="D65" s="71" t="s">
        <v>267</v>
      </c>
      <c r="E65" s="71" t="s">
        <v>421</v>
      </c>
      <c r="F65" s="71" t="s">
        <v>422</v>
      </c>
      <c r="G65" s="72" t="s">
        <v>423</v>
      </c>
      <c r="H65" s="73" t="s">
        <v>342</v>
      </c>
      <c r="I65" s="74">
        <v>3</v>
      </c>
      <c r="J65" s="74">
        <v>13</v>
      </c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8.75">
      <c r="A66" s="76"/>
      <c r="B66" s="77"/>
      <c r="C66" s="224">
        <v>5</v>
      </c>
      <c r="D66" s="355" t="s">
        <v>282</v>
      </c>
      <c r="E66" s="71" t="s">
        <v>424</v>
      </c>
      <c r="F66" s="71" t="s">
        <v>425</v>
      </c>
      <c r="G66" s="72" t="s">
        <v>426</v>
      </c>
      <c r="H66" s="73" t="s">
        <v>381</v>
      </c>
      <c r="I66" s="74">
        <v>3</v>
      </c>
      <c r="J66" s="74">
        <v>13</v>
      </c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8.75">
      <c r="A67" s="76"/>
      <c r="B67" s="77"/>
      <c r="C67" s="224"/>
      <c r="D67" s="355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8.7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8.7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8.7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8.7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8.7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8.7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24">
        <f>SUM(K75:K82)</f>
      </c>
      <c r="N73" s="25">
        <f>SUM(L75:L82)</f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8.7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8.7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8.7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8.7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8.7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8.7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8.7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8.7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8.7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24">
        <f>SUM(K85:K92)</f>
      </c>
      <c r="N83" s="25">
        <f>SUM(L85:L92)</f>
      </c>
      <c r="O83" s="19"/>
      <c r="P83" s="10"/>
      <c r="Q83" s="10"/>
      <c r="R83" s="10"/>
      <c r="S83" s="1"/>
      <c r="T83" s="1"/>
      <c r="U83" s="1"/>
    </row>
    <row x14ac:dyDescent="0.25" r="84" customHeight="1" ht="18.7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8.7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8.7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8.7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8.7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8.7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8.7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8.7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8.7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8.75" hidden="1">
      <c r="A93" s="76"/>
      <c r="B93" s="77"/>
      <c r="C93" s="248" t="s">
        <v>47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8.75" hidden="1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8.75" hidden="1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8.75" hidden="1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8.75" hidden="1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8.75" hidden="1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8.75" hidden="1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8.75" hidden="1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8.75" hidden="1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8.75" hidden="1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8.7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8.7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8.7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8.7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8.7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8.7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8.7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8.7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8.7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8.7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8.7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8.7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8.7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8.7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8.7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8.7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8.7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8.7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8.7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8.7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8.7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8.7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8.7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8.7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8.7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8.7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8.7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8.7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8.7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8.7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8.7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8.7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8.7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8.7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8.7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8.7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8.7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8.7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8.7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8.7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8.7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8.7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8.7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8.7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8.7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8.7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8.7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8.7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8.7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8.7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8.7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8.7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8.7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8.7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8.7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8.7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8.7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8.7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8.7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8.7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8.7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8.7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8.7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8.7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8.7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8.7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8.7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8.7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8.7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8.7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8.7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8.7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8.7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8.7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8.7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8.7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8.7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8.7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8.7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8.7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8.7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8.7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8.7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8.7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8.7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8.7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8.7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8.7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8.7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8.7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8.7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144" width="14.43357142857143" customWidth="1" bestFit="1"/>
    <col min="20" max="20" style="144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14"/>
      <c r="T1" s="14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18"/>
      <c r="T2" s="18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0"/>
      <c r="T3" s="10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34"/>
      <c r="T4" s="10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34"/>
      <c r="T5" s="10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17"/>
      <c r="T6" s="17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39"/>
      <c r="T7" s="39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40" t="s">
        <v>22</v>
      </c>
      <c r="T8" s="40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18"/>
      <c r="T11" s="18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0"/>
      <c r="T12" s="10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4" t="s">
        <v>24</v>
      </c>
      <c r="Q13" s="14"/>
      <c r="R13" s="14"/>
      <c r="S13" s="14"/>
      <c r="T13" s="14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0"/>
      <c r="T14" s="10"/>
      <c r="U14" s="1"/>
    </row>
    <row x14ac:dyDescent="0.25" r="15" customHeight="1" ht="16.5">
      <c r="A15" s="1"/>
      <c r="B15" s="20">
        <v>1</v>
      </c>
      <c r="C15" s="35"/>
      <c r="D15" s="35"/>
      <c r="E15" s="35"/>
      <c r="F15" s="35"/>
      <c r="G15" s="35"/>
      <c r="H15" s="35"/>
      <c r="I15" s="35"/>
      <c r="J15" s="35"/>
      <c r="K15" s="36">
        <f>(I15+J15)*10000</f>
      </c>
      <c r="L15" s="36">
        <f>K15*L13</f>
      </c>
      <c r="M15" s="34"/>
      <c r="N15" s="10"/>
      <c r="O15" s="13"/>
      <c r="P15" s="51" t="s">
        <v>16</v>
      </c>
      <c r="Q15" s="52">
        <f>P21-R21</f>
      </c>
      <c r="R15" s="53"/>
      <c r="S15" s="10"/>
      <c r="T15" s="10"/>
      <c r="U15" s="1"/>
    </row>
    <row x14ac:dyDescent="0.25" r="16" customHeight="1" ht="16.5">
      <c r="A16" s="1"/>
      <c r="B16" s="20">
        <v>2</v>
      </c>
      <c r="C16" s="35"/>
      <c r="D16" s="35"/>
      <c r="E16" s="35"/>
      <c r="F16" s="35"/>
      <c r="G16" s="35"/>
      <c r="H16" s="35"/>
      <c r="I16" s="35"/>
      <c r="J16" s="35"/>
      <c r="K16" s="36">
        <f>(I16+J16)*10000</f>
      </c>
      <c r="L16" s="36">
        <f>K16*L13</f>
      </c>
      <c r="M16" s="34"/>
      <c r="N16" s="10"/>
      <c r="O16" s="13"/>
      <c r="P16" s="54"/>
      <c r="Q16" s="55"/>
      <c r="R16" s="56"/>
      <c r="S16" s="10"/>
      <c r="T16" s="10"/>
      <c r="U16" s="1"/>
    </row>
    <row x14ac:dyDescent="0.25" r="17" customHeight="1" ht="19.5">
      <c r="A17" s="1"/>
      <c r="B17" s="20">
        <v>3</v>
      </c>
      <c r="C17" s="35"/>
      <c r="D17" s="35"/>
      <c r="E17" s="35"/>
      <c r="F17" s="35"/>
      <c r="G17" s="35"/>
      <c r="H17" s="35"/>
      <c r="I17" s="35"/>
      <c r="J17" s="35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0"/>
      <c r="T17" s="10"/>
      <c r="U17" s="1"/>
    </row>
    <row x14ac:dyDescent="0.25" r="18" customHeight="1" ht="19.5">
      <c r="A18" s="1"/>
      <c r="B18" s="20">
        <v>4</v>
      </c>
      <c r="C18" s="35"/>
      <c r="D18" s="35"/>
      <c r="E18" s="35"/>
      <c r="F18" s="35"/>
      <c r="G18" s="35"/>
      <c r="H18" s="35"/>
      <c r="I18" s="35"/>
      <c r="J18" s="35"/>
      <c r="K18" s="36">
        <f>(I18+J18)*10000</f>
      </c>
      <c r="L18" s="36">
        <f>K18*L13</f>
      </c>
      <c r="M18" s="34"/>
      <c r="N18" s="10"/>
      <c r="O18" s="13"/>
      <c r="P18" s="57" t="s">
        <v>17</v>
      </c>
      <c r="Q18" s="58"/>
      <c r="R18" s="59" t="s">
        <v>18</v>
      </c>
      <c r="S18" s="59"/>
      <c r="T18" s="58"/>
      <c r="U18" s="19"/>
    </row>
    <row x14ac:dyDescent="0.25" r="19" customHeight="1" ht="19.5">
      <c r="A19" s="1"/>
      <c r="B19" s="20">
        <v>5</v>
      </c>
      <c r="C19" s="35"/>
      <c r="D19" s="35"/>
      <c r="E19" s="35"/>
      <c r="F19" s="35"/>
      <c r="G19" s="35"/>
      <c r="H19" s="35"/>
      <c r="I19" s="35"/>
      <c r="J19" s="35"/>
      <c r="K19" s="36">
        <f>(I19+J19)*10000</f>
      </c>
      <c r="L19" s="36">
        <f>K19*L13</f>
      </c>
      <c r="M19" s="34"/>
      <c r="N19" s="10"/>
      <c r="O19" s="13"/>
      <c r="P19" s="60" t="s">
        <v>19</v>
      </c>
      <c r="Q19" s="61" t="s">
        <v>20</v>
      </c>
      <c r="R19" s="61" t="s">
        <v>21</v>
      </c>
      <c r="S19" s="61" t="s">
        <v>22</v>
      </c>
      <c r="T19" s="61" t="s">
        <v>20</v>
      </c>
      <c r="U19" s="19"/>
    </row>
    <row x14ac:dyDescent="0.25" r="20" customHeight="1" ht="19.5">
      <c r="A20" s="1"/>
      <c r="B20" s="20">
        <v>6</v>
      </c>
      <c r="C20" s="35"/>
      <c r="D20" s="35"/>
      <c r="E20" s="35"/>
      <c r="F20" s="35"/>
      <c r="G20" s="35"/>
      <c r="H20" s="35"/>
      <c r="I20" s="35"/>
      <c r="J20" s="35"/>
      <c r="K20" s="36">
        <f>(I20+J20)*10000</f>
      </c>
      <c r="L20" s="36">
        <f>K20*L13</f>
      </c>
      <c r="M20" s="34"/>
      <c r="N20" s="10"/>
      <c r="O20" s="13"/>
      <c r="P20" s="62">
        <f>SUM(P9,'8'!P9,'7'!P9,'6'!P9,'5'!P9,'4'!P9,'3'!P9)</f>
      </c>
      <c r="Q20" s="62">
        <f>SUM(Q9,'8'!Q9,'7'!Q9,'6'!Q9,'5'!Q9,'4'!Q9,'3'!Q9)</f>
      </c>
      <c r="R20" s="62">
        <f>SUM(R9,'8'!R9,'7'!R9,'6'!R9,'5'!R9,'4'!R9,'3'!R9)</f>
      </c>
      <c r="S20" s="62">
        <f>SUM(S9,'8'!S9,'7'!S9,'6'!S9,'5'!S9,'4'!S9,'3'!S9)</f>
      </c>
      <c r="T20" s="62">
        <f>SUM(T9,'8'!T9,'7'!T9,'6'!T9,'5'!T9,'4'!T9,'3'!T9)</f>
      </c>
      <c r="U20" s="19"/>
    </row>
    <row x14ac:dyDescent="0.25" r="21" customHeight="1" ht="19.5">
      <c r="A21" s="1"/>
      <c r="B21" s="20">
        <v>7</v>
      </c>
      <c r="C21" s="35"/>
      <c r="D21" s="35"/>
      <c r="E21" s="35"/>
      <c r="F21" s="35"/>
      <c r="G21" s="35"/>
      <c r="H21" s="35"/>
      <c r="I21" s="35"/>
      <c r="J21" s="35"/>
      <c r="K21" s="36">
        <f>(I21+J21)*10000</f>
      </c>
      <c r="L21" s="36">
        <f>K21*L13</f>
      </c>
      <c r="M21" s="34"/>
      <c r="N21" s="10"/>
      <c r="O21" s="13"/>
      <c r="P21" s="63">
        <f>SUM(P20:Q20)</f>
      </c>
      <c r="Q21" s="64"/>
      <c r="R21" s="65">
        <f>SUM(R20:T20)</f>
      </c>
      <c r="S21" s="66"/>
      <c r="T21" s="67"/>
      <c r="U21" s="19"/>
    </row>
    <row x14ac:dyDescent="0.25" r="22" customHeight="1" ht="19.5">
      <c r="A22" s="1"/>
      <c r="B22" s="20">
        <v>8</v>
      </c>
      <c r="C22" s="35"/>
      <c r="D22" s="35"/>
      <c r="E22" s="35"/>
      <c r="F22" s="35"/>
      <c r="G22" s="35"/>
      <c r="H22" s="35"/>
      <c r="I22" s="35"/>
      <c r="J22" s="35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18"/>
      <c r="T22" s="18"/>
      <c r="U22" s="1"/>
    </row>
    <row x14ac:dyDescent="0.25" r="23" customHeight="1" ht="19.5" hidden="1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0"/>
      <c r="T23" s="10"/>
      <c r="U23" s="1"/>
    </row>
    <row x14ac:dyDescent="0.25" r="24" customHeight="1" ht="19.5" hidden="1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0"/>
      <c r="T24" s="10"/>
      <c r="U24" s="1"/>
    </row>
    <row x14ac:dyDescent="0.25" r="25" customHeight="1" ht="19.5" hidden="1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0"/>
      <c r="T25" s="10"/>
      <c r="U25" s="1"/>
    </row>
    <row x14ac:dyDescent="0.25" r="26" customHeight="1" ht="19.5" hidden="1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0"/>
      <c r="T26" s="10"/>
      <c r="U26" s="1"/>
    </row>
    <row x14ac:dyDescent="0.25" r="27" customHeight="1" ht="19.5" hidden="1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0"/>
      <c r="T27" s="10"/>
      <c r="U27" s="1"/>
    </row>
    <row x14ac:dyDescent="0.25" r="28" customHeight="1" ht="19.5" hidden="1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0"/>
      <c r="T28" s="10"/>
      <c r="U28" s="1"/>
    </row>
    <row x14ac:dyDescent="0.25" r="29" customHeight="1" ht="19.5" hidden="1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0"/>
      <c r="T29" s="10"/>
      <c r="U29" s="1"/>
    </row>
    <row x14ac:dyDescent="0.25" r="30" customHeight="1" ht="19.5" hidden="1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0"/>
      <c r="T30" s="10"/>
      <c r="U30" s="1"/>
    </row>
    <row x14ac:dyDescent="0.25" r="31" customHeight="1" ht="19.5" hidden="1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0"/>
      <c r="T31" s="10"/>
      <c r="U31" s="1"/>
    </row>
    <row x14ac:dyDescent="0.25" r="32" customHeight="1" ht="19.5" hidden="1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0"/>
      <c r="T32" s="10"/>
      <c r="U32" s="1"/>
    </row>
    <row x14ac:dyDescent="0.25" r="33" customHeight="1" ht="19.5" hidden="1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0"/>
      <c r="T33" s="10"/>
      <c r="U33" s="1"/>
    </row>
    <row x14ac:dyDescent="0.25" r="34" customHeight="1" ht="19.5" hidden="1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0"/>
      <c r="T34" s="10"/>
      <c r="U34" s="1"/>
    </row>
    <row x14ac:dyDescent="0.25" r="35" customHeight="1" ht="19.5" hidden="1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0"/>
      <c r="T35" s="10"/>
      <c r="U35" s="1"/>
    </row>
    <row x14ac:dyDescent="0.25" r="36" customHeight="1" ht="19.5" hidden="1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0"/>
      <c r="T36" s="10"/>
      <c r="U36" s="1"/>
    </row>
    <row x14ac:dyDescent="0.25" r="37" customHeight="1" ht="19.5" hidden="1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0"/>
      <c r="T37" s="10"/>
      <c r="U37" s="1"/>
    </row>
    <row x14ac:dyDescent="0.25" r="38" customHeight="1" ht="19.5" hidden="1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0"/>
      <c r="T38" s="10"/>
      <c r="U38" s="1"/>
    </row>
    <row x14ac:dyDescent="0.25" r="39" customHeight="1" ht="19.5" hidden="1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0"/>
      <c r="T39" s="10"/>
      <c r="U39" s="1"/>
    </row>
    <row x14ac:dyDescent="0.25" r="40" customHeight="1" ht="19.5" hidden="1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0"/>
      <c r="T40" s="10"/>
      <c r="U40" s="1"/>
    </row>
    <row x14ac:dyDescent="0.25" r="41" customHeight="1" ht="19.5" hidden="1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0"/>
      <c r="T41" s="10"/>
      <c r="U41" s="1"/>
    </row>
    <row x14ac:dyDescent="0.25" r="42" customHeight="1" ht="19.5" hidden="1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0"/>
      <c r="T42" s="10"/>
      <c r="U42" s="1"/>
    </row>
    <row x14ac:dyDescent="0.25" r="43" customHeight="1" ht="19.5" hidden="1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0"/>
      <c r="T43" s="10"/>
      <c r="U43" s="1"/>
    </row>
    <row x14ac:dyDescent="0.25" r="44" customHeight="1" ht="19.5" hidden="1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0"/>
      <c r="T44" s="10"/>
      <c r="U44" s="1"/>
    </row>
    <row x14ac:dyDescent="0.25" r="45" customHeight="1" ht="19.5" hidden="1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0"/>
      <c r="T45" s="10"/>
      <c r="U45" s="1"/>
    </row>
    <row x14ac:dyDescent="0.25" r="46" customHeight="1" ht="19.5" hidden="1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0"/>
      <c r="T46" s="10"/>
      <c r="U46" s="1"/>
    </row>
    <row x14ac:dyDescent="0.25" r="47" customHeight="1" ht="19.5" hidden="1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0"/>
      <c r="T47" s="10"/>
      <c r="U47" s="1"/>
    </row>
    <row x14ac:dyDescent="0.25" r="48" customHeight="1" ht="19.5" hidden="1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0"/>
      <c r="T48" s="10"/>
      <c r="U48" s="1"/>
    </row>
    <row x14ac:dyDescent="0.25" r="49" customHeight="1" ht="19.5" hidden="1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0"/>
      <c r="T49" s="10"/>
      <c r="U49" s="1"/>
    </row>
    <row x14ac:dyDescent="0.25" r="50" customHeight="1" ht="19.5" hidden="1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0"/>
      <c r="T50" s="10"/>
      <c r="U50" s="1"/>
    </row>
    <row x14ac:dyDescent="0.25" r="51" customHeight="1" ht="19.5" hidden="1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0"/>
      <c r="T51" s="10"/>
      <c r="U51" s="1"/>
    </row>
    <row x14ac:dyDescent="0.25" r="52" customHeight="1" ht="19.5" hidden="1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0"/>
      <c r="T52" s="10"/>
      <c r="U52" s="1"/>
    </row>
    <row x14ac:dyDescent="0.25" r="53" customHeight="1" ht="19.5" hidden="1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0"/>
      <c r="T53" s="10"/>
      <c r="U53" s="1"/>
    </row>
    <row x14ac:dyDescent="0.25" r="54" customHeight="1" ht="19.5" hidden="1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0"/>
      <c r="T54" s="10"/>
      <c r="U54" s="1"/>
    </row>
    <row x14ac:dyDescent="0.25" r="55" customHeight="1" ht="19.5" hidden="1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0"/>
      <c r="T55" s="10"/>
      <c r="U55" s="1"/>
    </row>
    <row x14ac:dyDescent="0.25" r="56" customHeight="1" ht="19.5" hidden="1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0"/>
      <c r="T56" s="10"/>
      <c r="U56" s="1"/>
    </row>
    <row x14ac:dyDescent="0.25" r="57" customHeight="1" ht="19.5" hidden="1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0"/>
      <c r="T57" s="10"/>
      <c r="U57" s="1"/>
    </row>
    <row x14ac:dyDescent="0.25" r="58" customHeight="1" ht="19.5" hidden="1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0"/>
      <c r="T58" s="10"/>
      <c r="U58" s="1"/>
    </row>
    <row x14ac:dyDescent="0.25" r="59" customHeight="1" ht="19.5" hidden="1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0"/>
      <c r="T59" s="10"/>
      <c r="U59" s="1"/>
    </row>
    <row x14ac:dyDescent="0.25" r="60" customHeight="1" ht="19.5" hidden="1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0"/>
      <c r="T60" s="10"/>
      <c r="U60" s="1"/>
    </row>
    <row x14ac:dyDescent="0.25" r="61" customHeight="1" ht="19.5" hidden="1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0"/>
      <c r="T61" s="10"/>
      <c r="U61" s="1"/>
    </row>
    <row x14ac:dyDescent="0.25" r="62" customHeight="1" ht="19.5" hidden="1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0"/>
      <c r="T62" s="10"/>
      <c r="U62" s="1"/>
    </row>
    <row x14ac:dyDescent="0.25" r="63" customHeight="1" ht="19.5" hidden="1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0"/>
      <c r="T63" s="10"/>
      <c r="U63" s="1"/>
    </row>
    <row x14ac:dyDescent="0.25" r="64" customHeight="1" ht="19.5" hidden="1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0"/>
      <c r="T64" s="10"/>
      <c r="U64" s="1"/>
    </row>
    <row x14ac:dyDescent="0.25" r="65" customHeight="1" ht="19.5" hidden="1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0"/>
      <c r="T65" s="10"/>
      <c r="U65" s="1"/>
    </row>
    <row x14ac:dyDescent="0.25" r="66" customHeight="1" ht="19.5" hidden="1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0"/>
      <c r="T66" s="10"/>
      <c r="U66" s="1"/>
    </row>
    <row x14ac:dyDescent="0.25" r="67" customHeight="1" ht="19.5" hidden="1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0"/>
      <c r="T67" s="10"/>
      <c r="U67" s="1"/>
    </row>
    <row x14ac:dyDescent="0.25" r="68" customHeight="1" ht="19.5" hidden="1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0"/>
      <c r="T68" s="10"/>
      <c r="U68" s="1"/>
    </row>
    <row x14ac:dyDescent="0.25" r="69" customHeight="1" ht="19.5" hidden="1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0"/>
      <c r="T69" s="10"/>
      <c r="U69" s="1"/>
    </row>
    <row x14ac:dyDescent="0.25" r="70" customHeight="1" ht="19.5" hidden="1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0"/>
      <c r="T70" s="10"/>
      <c r="U70" s="1"/>
    </row>
    <row x14ac:dyDescent="0.25" r="71" customHeight="1" ht="19.5" hidden="1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0"/>
      <c r="T71" s="10"/>
      <c r="U71" s="1"/>
    </row>
    <row x14ac:dyDescent="0.25" r="72" customHeight="1" ht="19.5" hidden="1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0"/>
      <c r="T72" s="10"/>
      <c r="U72" s="1"/>
    </row>
    <row x14ac:dyDescent="0.25" r="73" customHeight="1" ht="19.5" hidden="1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0"/>
      <c r="T73" s="10"/>
      <c r="U73" s="1"/>
    </row>
    <row x14ac:dyDescent="0.25" r="74" customHeight="1" ht="19.5" hidden="1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0"/>
      <c r="T74" s="10"/>
      <c r="U74" s="1"/>
    </row>
    <row x14ac:dyDescent="0.25" r="75" customHeight="1" ht="19.5" hidden="1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0"/>
      <c r="T75" s="10"/>
      <c r="U75" s="1"/>
    </row>
    <row x14ac:dyDescent="0.25" r="76" customHeight="1" ht="19.5" hidden="1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0"/>
      <c r="T76" s="10"/>
      <c r="U76" s="1"/>
    </row>
    <row x14ac:dyDescent="0.25" r="77" customHeight="1" ht="19.5" hidden="1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0"/>
      <c r="T77" s="10"/>
      <c r="U77" s="1"/>
    </row>
    <row x14ac:dyDescent="0.25" r="78" customHeight="1" ht="19.5" hidden="1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0"/>
      <c r="T78" s="10"/>
      <c r="U78" s="1"/>
    </row>
    <row x14ac:dyDescent="0.25" r="79" customHeight="1" ht="19.5" hidden="1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0"/>
      <c r="T79" s="10"/>
      <c r="U79" s="1"/>
    </row>
    <row x14ac:dyDescent="0.25" r="80" customHeight="1" ht="19.5" hidden="1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0"/>
      <c r="T80" s="10"/>
      <c r="U80" s="1"/>
    </row>
    <row x14ac:dyDescent="0.25" r="81" customHeight="1" ht="19.5" hidden="1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0"/>
      <c r="T81" s="10"/>
      <c r="U81" s="1"/>
    </row>
    <row x14ac:dyDescent="0.25" r="82" customHeight="1" ht="19.5" hidden="1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0"/>
      <c r="T82" s="10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24">
        <f>SUM(K85:K92)</f>
      </c>
      <c r="N83" s="25">
        <f>SUM(L85:L92)</f>
      </c>
      <c r="O83" s="19"/>
      <c r="P83" s="10"/>
      <c r="Q83" s="10"/>
      <c r="R83" s="10"/>
      <c r="S83" s="10"/>
      <c r="T83" s="10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0"/>
      <c r="T84" s="10"/>
      <c r="U84" s="1"/>
    </row>
    <row x14ac:dyDescent="0.25" r="85" customHeight="1" ht="41.25">
      <c r="A85" s="76"/>
      <c r="B85" s="77"/>
      <c r="C85" s="224">
        <v>6</v>
      </c>
      <c r="D85" s="71" t="s">
        <v>267</v>
      </c>
      <c r="E85" s="71" t="s">
        <v>386</v>
      </c>
      <c r="F85" s="71" t="s">
        <v>387</v>
      </c>
      <c r="G85" s="72" t="s">
        <v>388</v>
      </c>
      <c r="H85" s="73" t="s">
        <v>389</v>
      </c>
      <c r="I85" s="74">
        <v>3</v>
      </c>
      <c r="J85" s="74">
        <v>8</v>
      </c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0"/>
      <c r="T85" s="10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0"/>
      <c r="T86" s="10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0"/>
      <c r="T87" s="10"/>
      <c r="U87" s="1"/>
    </row>
    <row x14ac:dyDescent="0.25" r="88" customHeight="1" ht="19.5">
      <c r="A88" s="76"/>
      <c r="B88" s="77"/>
      <c r="C88" s="224">
        <v>6</v>
      </c>
      <c r="D88" s="71" t="s">
        <v>362</v>
      </c>
      <c r="E88" s="71" t="s">
        <v>390</v>
      </c>
      <c r="F88" s="71" t="s">
        <v>391</v>
      </c>
      <c r="G88" s="72" t="s">
        <v>392</v>
      </c>
      <c r="H88" s="73" t="s">
        <v>238</v>
      </c>
      <c r="I88" s="74">
        <v>3</v>
      </c>
      <c r="J88" s="74">
        <v>6</v>
      </c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0"/>
      <c r="T88" s="10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0"/>
      <c r="T89" s="10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0"/>
      <c r="T90" s="10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0"/>
      <c r="T91" s="10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0"/>
      <c r="T92" s="10"/>
      <c r="U92" s="1"/>
    </row>
    <row x14ac:dyDescent="0.25" r="93" customHeight="1" ht="19.5" hidden="1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0"/>
      <c r="T93" s="10"/>
      <c r="U93" s="1"/>
    </row>
    <row x14ac:dyDescent="0.25" r="94" customHeight="1" ht="19.5" hidden="1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0"/>
      <c r="T94" s="10"/>
      <c r="U94" s="1"/>
    </row>
    <row x14ac:dyDescent="0.25" r="95" customHeight="1" ht="19.5" hidden="1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0"/>
      <c r="T95" s="10"/>
      <c r="U95" s="1"/>
    </row>
    <row x14ac:dyDescent="0.25" r="96" customHeight="1" ht="19.5" hidden="1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0"/>
      <c r="T96" s="10"/>
      <c r="U96" s="1"/>
    </row>
    <row x14ac:dyDescent="0.25" r="97" customHeight="1" ht="19.5" hidden="1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0"/>
      <c r="T97" s="10"/>
      <c r="U97" s="1"/>
    </row>
    <row x14ac:dyDescent="0.25" r="98" customHeight="1" ht="19.5" hidden="1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0"/>
      <c r="T98" s="10"/>
      <c r="U98" s="1"/>
    </row>
    <row x14ac:dyDescent="0.25" r="99" customHeight="1" ht="19.5" hidden="1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0"/>
      <c r="T99" s="10"/>
      <c r="U99" s="1"/>
    </row>
    <row x14ac:dyDescent="0.25" r="100" customHeight="1" ht="19.5" hidden="1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0"/>
      <c r="T100" s="10"/>
      <c r="U100" s="1"/>
    </row>
    <row x14ac:dyDescent="0.25" r="101" customHeight="1" ht="19.5" hidden="1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0"/>
      <c r="T101" s="10"/>
      <c r="U101" s="1"/>
    </row>
    <row x14ac:dyDescent="0.25" r="102" customHeight="1" ht="19.5" hidden="1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0"/>
      <c r="T102" s="10"/>
      <c r="U102" s="1"/>
    </row>
    <row x14ac:dyDescent="0.25" r="103" customHeight="1" ht="19.5" hidden="1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0"/>
      <c r="T103" s="10"/>
      <c r="U103" s="1"/>
    </row>
    <row x14ac:dyDescent="0.25" r="104" customHeight="1" ht="19.5" hidden="1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0"/>
      <c r="T104" s="10"/>
      <c r="U104" s="1"/>
    </row>
    <row x14ac:dyDescent="0.25" r="105" customHeight="1" ht="19.5" hidden="1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0"/>
      <c r="T105" s="10"/>
      <c r="U105" s="1"/>
    </row>
    <row x14ac:dyDescent="0.25" r="106" customHeight="1" ht="19.5" hidden="1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0"/>
      <c r="T106" s="10"/>
      <c r="U106" s="1"/>
    </row>
    <row x14ac:dyDescent="0.25" r="107" customHeight="1" ht="19.5" hidden="1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0"/>
      <c r="T107" s="10"/>
      <c r="U107" s="1"/>
    </row>
    <row x14ac:dyDescent="0.25" r="108" customHeight="1" ht="19.5" hidden="1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0"/>
      <c r="T108" s="10"/>
      <c r="U108" s="1"/>
    </row>
    <row x14ac:dyDescent="0.25" r="109" customHeight="1" ht="19.5" hidden="1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0"/>
      <c r="T109" s="10"/>
      <c r="U109" s="1"/>
    </row>
    <row x14ac:dyDescent="0.25" r="110" customHeight="1" ht="19.5" hidden="1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0"/>
      <c r="T110" s="10"/>
      <c r="U110" s="1"/>
    </row>
    <row x14ac:dyDescent="0.25" r="111" customHeight="1" ht="19.5" hidden="1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0"/>
      <c r="T111" s="10"/>
      <c r="U111" s="1"/>
    </row>
    <row x14ac:dyDescent="0.25" r="112" customHeight="1" ht="19.5" hidden="1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0"/>
      <c r="T112" s="10"/>
      <c r="U112" s="1"/>
    </row>
    <row x14ac:dyDescent="0.25" r="113" customHeight="1" ht="19.5" hidden="1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0"/>
      <c r="T113" s="10"/>
      <c r="U113" s="1"/>
    </row>
    <row x14ac:dyDescent="0.25" r="114" customHeight="1" ht="19.5" hidden="1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0"/>
      <c r="T114" s="10"/>
      <c r="U114" s="1"/>
    </row>
    <row x14ac:dyDescent="0.25" r="115" customHeight="1" ht="19.5" hidden="1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0"/>
      <c r="T115" s="10"/>
      <c r="U115" s="1"/>
    </row>
    <row x14ac:dyDescent="0.25" r="116" customHeight="1" ht="19.5" hidden="1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0"/>
      <c r="T116" s="10"/>
      <c r="U116" s="1"/>
    </row>
    <row x14ac:dyDescent="0.25" r="117" customHeight="1" ht="19.5" hidden="1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0"/>
      <c r="T117" s="10"/>
      <c r="U117" s="1"/>
    </row>
    <row x14ac:dyDescent="0.25" r="118" customHeight="1" ht="19.5" hidden="1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0"/>
      <c r="T118" s="10"/>
      <c r="U118" s="1"/>
    </row>
    <row x14ac:dyDescent="0.25" r="119" customHeight="1" ht="19.5" hidden="1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0"/>
      <c r="T119" s="10"/>
      <c r="U119" s="1"/>
    </row>
    <row x14ac:dyDescent="0.25" r="120" customHeight="1" ht="19.5" hidden="1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0"/>
      <c r="T120" s="10"/>
      <c r="U120" s="1"/>
    </row>
    <row x14ac:dyDescent="0.25" r="121" customHeight="1" ht="19.5" hidden="1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0"/>
      <c r="T121" s="10"/>
      <c r="U121" s="1"/>
    </row>
    <row x14ac:dyDescent="0.25" r="122" customHeight="1" ht="19.5" hidden="1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0"/>
      <c r="T122" s="10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0"/>
      <c r="T123" s="10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0"/>
      <c r="T124" s="10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0"/>
      <c r="T125" s="10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0"/>
      <c r="T126" s="10"/>
      <c r="U126" s="1"/>
    </row>
    <row x14ac:dyDescent="0.25" r="127" customHeight="1" ht="19.5">
      <c r="A127" s="1"/>
      <c r="B127" s="20"/>
      <c r="C127" s="338">
        <v>6</v>
      </c>
      <c r="D127" s="339" t="s">
        <v>393</v>
      </c>
      <c r="E127" s="343" t="s">
        <v>394</v>
      </c>
      <c r="F127" s="346" t="s">
        <v>395</v>
      </c>
      <c r="G127" s="341" t="s">
        <v>396</v>
      </c>
      <c r="H127" s="340" t="s">
        <v>315</v>
      </c>
      <c r="I127" s="74">
        <v>3</v>
      </c>
      <c r="J127" s="74">
        <v>15</v>
      </c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0"/>
      <c r="T127" s="10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0"/>
      <c r="T128" s="10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0"/>
      <c r="T129" s="10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0"/>
      <c r="T130" s="10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0"/>
      <c r="T131" s="10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0"/>
      <c r="T132" s="10"/>
      <c r="U132" s="1"/>
    </row>
    <row x14ac:dyDescent="0.25" r="133" customHeight="1" ht="19.5" hidden="1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0"/>
      <c r="T133" s="10"/>
      <c r="U133" s="1"/>
    </row>
    <row x14ac:dyDescent="0.25" r="134" customHeight="1" ht="19.5" hidden="1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0"/>
      <c r="T134" s="10"/>
      <c r="U134" s="1"/>
    </row>
    <row x14ac:dyDescent="0.25" r="135" customHeight="1" ht="19.5" hidden="1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0"/>
      <c r="T135" s="10"/>
      <c r="U135" s="1"/>
    </row>
    <row x14ac:dyDescent="0.25" r="136" customHeight="1" ht="19.5" hidden="1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0"/>
      <c r="T136" s="10"/>
      <c r="U136" s="1"/>
    </row>
    <row x14ac:dyDescent="0.25" r="137" customHeight="1" ht="19.5" hidden="1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0"/>
      <c r="T137" s="10"/>
      <c r="U137" s="1"/>
    </row>
    <row x14ac:dyDescent="0.25" r="138" customHeight="1" ht="19.5" hidden="1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0"/>
      <c r="T138" s="10"/>
      <c r="U138" s="1"/>
    </row>
    <row x14ac:dyDescent="0.25" r="139" customHeight="1" ht="19.5" hidden="1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0"/>
      <c r="T139" s="10"/>
      <c r="U139" s="1"/>
    </row>
    <row x14ac:dyDescent="0.25" r="140" customHeight="1" ht="19.5" hidden="1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0"/>
      <c r="T140" s="10"/>
      <c r="U140" s="1"/>
    </row>
    <row x14ac:dyDescent="0.25" r="141" customHeight="1" ht="19.5" hidden="1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0"/>
      <c r="T141" s="10"/>
      <c r="U141" s="1"/>
    </row>
    <row x14ac:dyDescent="0.25" r="142" customHeight="1" ht="19.5" hidden="1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0"/>
      <c r="T142" s="10"/>
      <c r="U142" s="1"/>
    </row>
    <row x14ac:dyDescent="0.25" r="143" customHeight="1" ht="19.5" hidden="1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0"/>
      <c r="T143" s="10"/>
      <c r="U143" s="1"/>
    </row>
    <row x14ac:dyDescent="0.25" r="144" customHeight="1" ht="19.5" hidden="1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0"/>
      <c r="T144" s="10"/>
      <c r="U144" s="1"/>
    </row>
    <row x14ac:dyDescent="0.25" r="145" customHeight="1" ht="19.5" hidden="1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0"/>
      <c r="T145" s="10"/>
      <c r="U145" s="1"/>
    </row>
    <row x14ac:dyDescent="0.25" r="146" customHeight="1" ht="19.5" hidden="1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0"/>
      <c r="T146" s="10"/>
      <c r="U146" s="1"/>
    </row>
    <row x14ac:dyDescent="0.25" r="147" customHeight="1" ht="19.5" hidden="1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0"/>
      <c r="T147" s="10"/>
      <c r="U147" s="1"/>
    </row>
    <row x14ac:dyDescent="0.25" r="148" customHeight="1" ht="19.5" hidden="1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0"/>
      <c r="T148" s="10"/>
      <c r="U148" s="1"/>
    </row>
    <row x14ac:dyDescent="0.25" r="149" customHeight="1" ht="19.5" hidden="1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0"/>
      <c r="T149" s="10"/>
      <c r="U149" s="1"/>
    </row>
    <row x14ac:dyDescent="0.25" r="150" customHeight="1" ht="19.5" hidden="1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0"/>
      <c r="T150" s="10"/>
      <c r="U150" s="1"/>
    </row>
    <row x14ac:dyDescent="0.25" r="151" customHeight="1" ht="19.5" hidden="1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0"/>
      <c r="T151" s="10"/>
      <c r="U151" s="1"/>
    </row>
    <row x14ac:dyDescent="0.25" r="152" customHeight="1" ht="19.5" hidden="1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0"/>
      <c r="T152" s="10"/>
      <c r="U152" s="1"/>
    </row>
    <row x14ac:dyDescent="0.25" r="153" customHeight="1" ht="19.5" hidden="1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0"/>
      <c r="T153" s="10"/>
      <c r="U153" s="1"/>
    </row>
    <row x14ac:dyDescent="0.25" r="154" customHeight="1" ht="19.5" hidden="1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0"/>
      <c r="T154" s="10"/>
      <c r="U154" s="1"/>
    </row>
    <row x14ac:dyDescent="0.25" r="155" customHeight="1" ht="19.5" hidden="1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0"/>
      <c r="T155" s="10"/>
      <c r="U155" s="1"/>
    </row>
    <row x14ac:dyDescent="0.25" r="156" customHeight="1" ht="19.5" hidden="1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0"/>
      <c r="T156" s="10"/>
      <c r="U156" s="1"/>
    </row>
    <row x14ac:dyDescent="0.25" r="157" customHeight="1" ht="19.5" hidden="1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0"/>
      <c r="T157" s="10"/>
      <c r="U157" s="1"/>
    </row>
    <row x14ac:dyDescent="0.25" r="158" customHeight="1" ht="19.5" hidden="1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0"/>
      <c r="T158" s="10"/>
      <c r="U158" s="1"/>
    </row>
    <row x14ac:dyDescent="0.25" r="159" customHeight="1" ht="19.5" hidden="1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0"/>
      <c r="T159" s="10"/>
      <c r="U159" s="1"/>
    </row>
    <row x14ac:dyDescent="0.25" r="160" customHeight="1" ht="19.5" hidden="1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0"/>
      <c r="T160" s="10"/>
      <c r="U160" s="1"/>
    </row>
    <row x14ac:dyDescent="0.25" r="161" customHeight="1" ht="19.5" hidden="1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0"/>
      <c r="T161" s="10"/>
      <c r="U161" s="1"/>
    </row>
    <row x14ac:dyDescent="0.25" r="162" customHeight="1" ht="19.5" hidden="1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0"/>
      <c r="T162" s="10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0"/>
      <c r="T163" s="10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0"/>
      <c r="T164" s="10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0"/>
      <c r="T165" s="10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0"/>
      <c r="T166" s="10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0"/>
      <c r="T167" s="10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0"/>
      <c r="T168" s="10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0"/>
      <c r="T169" s="10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0"/>
      <c r="T170" s="10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0"/>
      <c r="T171" s="10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0"/>
      <c r="T172" s="10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0"/>
      <c r="T173" s="10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0"/>
      <c r="T174" s="10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0"/>
      <c r="T175" s="10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0"/>
      <c r="T176" s="10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0"/>
      <c r="T177" s="10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0"/>
      <c r="T178" s="10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0"/>
      <c r="T179" s="10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0"/>
      <c r="T180" s="10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0"/>
      <c r="T181" s="10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0"/>
      <c r="T182" s="10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0"/>
      <c r="T183" s="10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0"/>
      <c r="T184" s="10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0"/>
      <c r="T185" s="10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0"/>
      <c r="T186" s="10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0"/>
      <c r="T187" s="10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0"/>
      <c r="T188" s="10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0"/>
      <c r="T189" s="10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0"/>
      <c r="T190" s="10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0"/>
      <c r="T191" s="10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0"/>
      <c r="T192" s="10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0"/>
      <c r="T193" s="10"/>
      <c r="U193" s="1"/>
    </row>
  </sheetData>
  <mergeCells count="65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P13:T13"/>
    <mergeCell ref="C14:D14"/>
    <mergeCell ref="M14:N14"/>
    <mergeCell ref="P15:P16"/>
    <mergeCell ref="Q15:R16"/>
    <mergeCell ref="P18:Q18"/>
    <mergeCell ref="R18:T18"/>
    <mergeCell ref="P21:Q21"/>
    <mergeCell ref="R21:T21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338">
        <v>8</v>
      </c>
      <c r="D15" s="339" t="s">
        <v>267</v>
      </c>
      <c r="E15" s="339" t="s">
        <v>382</v>
      </c>
      <c r="F15" s="344" t="s">
        <v>383</v>
      </c>
      <c r="G15" s="341" t="s">
        <v>384</v>
      </c>
      <c r="H15" s="340" t="s">
        <v>385</v>
      </c>
      <c r="I15" s="74">
        <v>3</v>
      </c>
      <c r="J15" s="74">
        <v>8</v>
      </c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24">
        <f>SUM(K45:K52)</f>
      </c>
      <c r="N43" s="25">
        <f>SUM(L45:L52)</f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24">
        <f>SUM(K55:K62)</f>
      </c>
      <c r="N53" s="25">
        <f>SUM(L55:L62)</f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24">
        <f>SUM(K65:K72)</f>
      </c>
      <c r="N63" s="25">
        <f>SUM(L65:L72)</f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24">
        <f>SUM(K75:K82)</f>
      </c>
      <c r="N73" s="25">
        <f>SUM(L75:L82)</f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34"/>
      <c r="N74" s="34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24">
        <f>SUM(K85:K92)</f>
      </c>
      <c r="N83" s="25">
        <f>SUM(L85:L92)</f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 hidden="1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 hidden="1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 hidden="1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 hidden="1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 hidden="1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 hidden="1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 hidden="1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 hidden="1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 hidden="1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 hidden="1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24">
        <f>SUM(K45:K52)</f>
      </c>
      <c r="N43" s="25">
        <f>SUM(L45:L52)</f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24">
        <f>SUM(K55:K62)</f>
      </c>
      <c r="N53" s="25">
        <f>SUM(L55:L62)</f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24">
        <f>SUM(K65:K72)</f>
      </c>
      <c r="N63" s="25">
        <f>SUM(L65:L72)</f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24">
        <f>SUM(K75:K82)</f>
      </c>
      <c r="N73" s="25">
        <f>SUM(L75:L82)</f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24">
        <f>SUM(K85:K92)</f>
      </c>
      <c r="N83" s="25">
        <f>SUM(L85:L92)</f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24">
        <f>SUM(K95:K102)</f>
      </c>
      <c r="N93" s="25">
        <f>SUM(L95:L102)</f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12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37.5">
      <c r="A16" s="1"/>
      <c r="B16" s="20">
        <v>2</v>
      </c>
      <c r="C16" s="338">
        <v>9</v>
      </c>
      <c r="D16" s="343" t="s">
        <v>282</v>
      </c>
      <c r="E16" s="343" t="s">
        <v>378</v>
      </c>
      <c r="F16" s="339" t="s">
        <v>379</v>
      </c>
      <c r="G16" s="340" t="s">
        <v>380</v>
      </c>
      <c r="H16" s="340" t="s">
        <v>381</v>
      </c>
      <c r="I16" s="338">
        <v>3</v>
      </c>
      <c r="J16" s="338">
        <v>13</v>
      </c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24">
        <f>SUM(K45:K52)</f>
      </c>
      <c r="N43" s="25">
        <f>SUM(L45:L52)</f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24">
        <f>SUM(K55:K62)</f>
      </c>
      <c r="N53" s="25">
        <f>SUM(L55:L62)</f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24">
        <f>SUM(K65:K72)</f>
      </c>
      <c r="N63" s="25">
        <f>SUM(L65:L72)</f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24">
        <f>SUM(K75:K82)</f>
      </c>
      <c r="N73" s="25">
        <f>SUM(L75:L82)</f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24">
        <f>SUM(K85:K92)</f>
      </c>
      <c r="N83" s="25">
        <f>SUM(L85:L92)</f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24">
        <f>SUM(K95:K102)</f>
      </c>
      <c r="N93" s="25">
        <f>SUM(L95:L102)</f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338">
        <v>12</v>
      </c>
      <c r="D65" s="339" t="s">
        <v>267</v>
      </c>
      <c r="E65" s="339" t="s">
        <v>370</v>
      </c>
      <c r="F65" s="344" t="s">
        <v>371</v>
      </c>
      <c r="G65" s="341" t="s">
        <v>372</v>
      </c>
      <c r="H65" s="340" t="s">
        <v>342</v>
      </c>
      <c r="I65" s="74">
        <v>3</v>
      </c>
      <c r="J65" s="74">
        <v>13</v>
      </c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 hidden="1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 hidden="1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 hidden="1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 hidden="1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 hidden="1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 hidden="1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 hidden="1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 hidden="1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 hidden="1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 hidden="1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338">
        <v>12</v>
      </c>
      <c r="D128" s="339" t="s">
        <v>373</v>
      </c>
      <c r="E128" s="343" t="s">
        <v>374</v>
      </c>
      <c r="F128" s="346" t="s">
        <v>375</v>
      </c>
      <c r="G128" s="341" t="s">
        <v>376</v>
      </c>
      <c r="H128" s="340" t="s">
        <v>377</v>
      </c>
      <c r="I128" s="74">
        <v>3</v>
      </c>
      <c r="J128" s="74">
        <v>16</v>
      </c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144" width="14.43357142857143" customWidth="1" bestFit="1"/>
    <col min="20" max="20" style="144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14"/>
      <c r="T1" s="14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18"/>
      <c r="T2" s="18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0"/>
      <c r="T3" s="10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34"/>
      <c r="T4" s="10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34"/>
      <c r="T5" s="10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17"/>
      <c r="T6" s="17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39"/>
      <c r="T7" s="39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40" t="s">
        <v>22</v>
      </c>
      <c r="T8" s="40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18"/>
      <c r="T11" s="18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0"/>
      <c r="T12" s="10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4" t="s">
        <v>24</v>
      </c>
      <c r="Q13" s="14"/>
      <c r="R13" s="14"/>
      <c r="S13" s="14"/>
      <c r="T13" s="14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0"/>
      <c r="T14" s="10"/>
      <c r="U14" s="1"/>
    </row>
    <row x14ac:dyDescent="0.25" r="15" customHeight="1" ht="16.5">
      <c r="A15" s="1"/>
      <c r="B15" s="20">
        <v>1</v>
      </c>
      <c r="C15" s="68"/>
      <c r="D15" s="68"/>
      <c r="E15" s="68"/>
      <c r="F15" s="68"/>
      <c r="G15" s="68"/>
      <c r="H15" s="68"/>
      <c r="I15" s="68"/>
      <c r="J15" s="68"/>
      <c r="K15" s="36">
        <f>(I15+J15)*10000</f>
      </c>
      <c r="L15" s="36">
        <f>K15*L13</f>
      </c>
      <c r="M15" s="34"/>
      <c r="N15" s="10"/>
      <c r="O15" s="13"/>
      <c r="P15" s="51" t="s">
        <v>16</v>
      </c>
      <c r="Q15" s="52">
        <f>P21-R21</f>
      </c>
      <c r="R15" s="53"/>
      <c r="S15" s="10"/>
      <c r="T15" s="10"/>
      <c r="U15" s="1"/>
    </row>
    <row x14ac:dyDescent="0.25" r="16" customHeight="1" ht="16.5">
      <c r="A16" s="1"/>
      <c r="B16" s="20">
        <v>2</v>
      </c>
      <c r="C16" s="68"/>
      <c r="D16" s="68"/>
      <c r="E16" s="68"/>
      <c r="F16" s="68"/>
      <c r="G16" s="68"/>
      <c r="H16" s="68"/>
      <c r="I16" s="68"/>
      <c r="J16" s="68"/>
      <c r="K16" s="36">
        <f>(I16+J16)*10000</f>
      </c>
      <c r="L16" s="36">
        <f>K16*L13</f>
      </c>
      <c r="M16" s="34"/>
      <c r="N16" s="10"/>
      <c r="O16" s="13"/>
      <c r="P16" s="54"/>
      <c r="Q16" s="55"/>
      <c r="R16" s="56"/>
      <c r="S16" s="10"/>
      <c r="T16" s="10"/>
      <c r="U16" s="1"/>
    </row>
    <row x14ac:dyDescent="0.25" r="17" customHeight="1" ht="19.5">
      <c r="A17" s="1"/>
      <c r="B17" s="20">
        <v>3</v>
      </c>
      <c r="C17" s="68"/>
      <c r="D17" s="68"/>
      <c r="E17" s="68"/>
      <c r="F17" s="68"/>
      <c r="G17" s="68"/>
      <c r="H17" s="68"/>
      <c r="I17" s="68"/>
      <c r="J17" s="68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0"/>
      <c r="T17" s="10"/>
      <c r="U17" s="1"/>
    </row>
    <row x14ac:dyDescent="0.25" r="18" customHeight="1" ht="19.5">
      <c r="A18" s="1"/>
      <c r="B18" s="20">
        <v>4</v>
      </c>
      <c r="C18" s="68"/>
      <c r="D18" s="68"/>
      <c r="E18" s="68"/>
      <c r="F18" s="68"/>
      <c r="G18" s="68"/>
      <c r="H18" s="68"/>
      <c r="I18" s="68"/>
      <c r="J18" s="68"/>
      <c r="K18" s="36">
        <f>(I18+J18)*10000</f>
      </c>
      <c r="L18" s="36">
        <f>K18*L13</f>
      </c>
      <c r="M18" s="34"/>
      <c r="N18" s="10"/>
      <c r="O18" s="13"/>
      <c r="P18" s="57" t="s">
        <v>17</v>
      </c>
      <c r="Q18" s="58"/>
      <c r="R18" s="59" t="s">
        <v>18</v>
      </c>
      <c r="S18" s="59"/>
      <c r="T18" s="58"/>
      <c r="U18" s="19"/>
    </row>
    <row x14ac:dyDescent="0.25" r="19" customHeight="1" ht="19.5">
      <c r="A19" s="1"/>
      <c r="B19" s="20">
        <v>5</v>
      </c>
      <c r="C19" s="68"/>
      <c r="D19" s="68"/>
      <c r="E19" s="68"/>
      <c r="F19" s="68"/>
      <c r="G19" s="68"/>
      <c r="H19" s="68"/>
      <c r="I19" s="68"/>
      <c r="J19" s="68"/>
      <c r="K19" s="36">
        <f>(I19+J19)*10000</f>
      </c>
      <c r="L19" s="36">
        <f>K19*L13</f>
      </c>
      <c r="M19" s="34"/>
      <c r="N19" s="10"/>
      <c r="O19" s="13"/>
      <c r="P19" s="60" t="s">
        <v>19</v>
      </c>
      <c r="Q19" s="61" t="s">
        <v>20</v>
      </c>
      <c r="R19" s="61" t="s">
        <v>21</v>
      </c>
      <c r="S19" s="61" t="s">
        <v>22</v>
      </c>
      <c r="T19" s="61" t="s">
        <v>20</v>
      </c>
      <c r="U19" s="19"/>
    </row>
    <row x14ac:dyDescent="0.25" r="20" customHeight="1" ht="19.5">
      <c r="A20" s="1"/>
      <c r="B20" s="20">
        <v>6</v>
      </c>
      <c r="C20" s="68"/>
      <c r="D20" s="68"/>
      <c r="E20" s="68"/>
      <c r="F20" s="68"/>
      <c r="G20" s="68"/>
      <c r="H20" s="68"/>
      <c r="I20" s="68"/>
      <c r="J20" s="68"/>
      <c r="K20" s="36">
        <f>(I20+J20)*10000</f>
      </c>
      <c r="L20" s="36">
        <f>K20*L13</f>
      </c>
      <c r="M20" s="34"/>
      <c r="N20" s="10"/>
      <c r="O20" s="13"/>
      <c r="P20" s="62">
        <f>SUM(P9,'8'!P9,'7'!P9,'6'!P9,'5'!P9,'4'!P9,'3'!P9)</f>
      </c>
      <c r="Q20" s="62">
        <f>SUM(Q9,'8'!Q9,'7'!Q9,'6'!Q9,'5'!Q9,'4'!Q9,'3'!Q9)</f>
      </c>
      <c r="R20" s="62">
        <f>SUM(R9,'8'!R9,'7'!R9,'6'!R9,'5'!R9,'4'!R9,'3'!R9)</f>
      </c>
      <c r="S20" s="62">
        <f>SUM(S9,'8'!S9,'7'!S9,'6'!S9,'5'!S9,'4'!S9,'3'!S9)</f>
      </c>
      <c r="T20" s="62">
        <f>SUM(T9,'8'!T9,'7'!T9,'6'!T9,'5'!T9,'4'!T9,'3'!T9)</f>
      </c>
      <c r="U20" s="19"/>
    </row>
    <row x14ac:dyDescent="0.25" r="21" customHeight="1" ht="19.5">
      <c r="A21" s="1"/>
      <c r="B21" s="20">
        <v>7</v>
      </c>
      <c r="C21" s="68"/>
      <c r="D21" s="68"/>
      <c r="E21" s="68"/>
      <c r="F21" s="68"/>
      <c r="G21" s="68"/>
      <c r="H21" s="68"/>
      <c r="I21" s="68"/>
      <c r="J21" s="68"/>
      <c r="K21" s="36">
        <f>(I21+J21)*10000</f>
      </c>
      <c r="L21" s="36">
        <f>K21*L13</f>
      </c>
      <c r="M21" s="34"/>
      <c r="N21" s="10"/>
      <c r="O21" s="13"/>
      <c r="P21" s="63">
        <f>SUM(P20:Q20)</f>
      </c>
      <c r="Q21" s="64"/>
      <c r="R21" s="65">
        <f>SUM(R20:T20)</f>
      </c>
      <c r="S21" s="66"/>
      <c r="T21" s="67"/>
      <c r="U21" s="19"/>
    </row>
    <row x14ac:dyDescent="0.25" r="22" customHeight="1" ht="19.5">
      <c r="A22" s="1"/>
      <c r="B22" s="20">
        <v>8</v>
      </c>
      <c r="C22" s="68"/>
      <c r="D22" s="68"/>
      <c r="E22" s="68"/>
      <c r="F22" s="68"/>
      <c r="G22" s="68"/>
      <c r="H22" s="68"/>
      <c r="I22" s="68"/>
      <c r="J22" s="68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18"/>
      <c r="T22" s="18"/>
      <c r="U22" s="1"/>
    </row>
    <row x14ac:dyDescent="0.25" r="23" customHeight="1" ht="19.5" hidden="1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0"/>
      <c r="T23" s="10"/>
      <c r="U23" s="1"/>
    </row>
    <row x14ac:dyDescent="0.25" r="24" customHeight="1" ht="19.5" hidden="1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0"/>
      <c r="T24" s="10"/>
      <c r="U24" s="1"/>
    </row>
    <row x14ac:dyDescent="0.25" r="25" customHeight="1" ht="19.5" hidden="1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0"/>
      <c r="T25" s="10"/>
      <c r="U25" s="1"/>
    </row>
    <row x14ac:dyDescent="0.25" r="26" customHeight="1" ht="19.5" hidden="1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0"/>
      <c r="T26" s="10"/>
      <c r="U26" s="1"/>
    </row>
    <row x14ac:dyDescent="0.25" r="27" customHeight="1" ht="19.5" hidden="1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0"/>
      <c r="T27" s="10"/>
      <c r="U27" s="1"/>
    </row>
    <row x14ac:dyDescent="0.25" r="28" customHeight="1" ht="19.5" hidden="1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0"/>
      <c r="T28" s="10"/>
      <c r="U28" s="1"/>
    </row>
    <row x14ac:dyDescent="0.25" r="29" customHeight="1" ht="19.5" hidden="1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0"/>
      <c r="T29" s="10"/>
      <c r="U29" s="1"/>
    </row>
    <row x14ac:dyDescent="0.25" r="30" customHeight="1" ht="19.5" hidden="1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0"/>
      <c r="T30" s="10"/>
      <c r="U30" s="1"/>
    </row>
    <row x14ac:dyDescent="0.25" r="31" customHeight="1" ht="19.5" hidden="1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0"/>
      <c r="T31" s="10"/>
      <c r="U31" s="1"/>
    </row>
    <row x14ac:dyDescent="0.25" r="32" customHeight="1" ht="19.5" hidden="1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0"/>
      <c r="T32" s="10"/>
      <c r="U32" s="1"/>
    </row>
    <row x14ac:dyDescent="0.25" r="33" customHeight="1" ht="19.5" hidden="1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0"/>
      <c r="T33" s="10"/>
      <c r="U33" s="1"/>
    </row>
    <row x14ac:dyDescent="0.25" r="34" customHeight="1" ht="19.5" hidden="1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0"/>
      <c r="T34" s="10"/>
      <c r="U34" s="1"/>
    </row>
    <row x14ac:dyDescent="0.25" r="35" customHeight="1" ht="19.5" hidden="1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0"/>
      <c r="T35" s="10"/>
      <c r="U35" s="1"/>
    </row>
    <row x14ac:dyDescent="0.25" r="36" customHeight="1" ht="19.5" hidden="1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0"/>
      <c r="T36" s="10"/>
      <c r="U36" s="1"/>
    </row>
    <row x14ac:dyDescent="0.25" r="37" customHeight="1" ht="19.5" hidden="1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0"/>
      <c r="T37" s="10"/>
      <c r="U37" s="1"/>
    </row>
    <row x14ac:dyDescent="0.25" r="38" customHeight="1" ht="19.5" hidden="1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0"/>
      <c r="T38" s="10"/>
      <c r="U38" s="1"/>
    </row>
    <row x14ac:dyDescent="0.25" r="39" customHeight="1" ht="19.5" hidden="1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0"/>
      <c r="T39" s="10"/>
      <c r="U39" s="1"/>
    </row>
    <row x14ac:dyDescent="0.25" r="40" customHeight="1" ht="19.5" hidden="1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0"/>
      <c r="T40" s="10"/>
      <c r="U40" s="1"/>
    </row>
    <row x14ac:dyDescent="0.25" r="41" customHeight="1" ht="19.5" hidden="1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0"/>
      <c r="T41" s="10"/>
      <c r="U41" s="1"/>
    </row>
    <row x14ac:dyDescent="0.25" r="42" customHeight="1" ht="19.5" hidden="1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0"/>
      <c r="T42" s="10"/>
      <c r="U42" s="1"/>
    </row>
    <row x14ac:dyDescent="0.25" r="43" customHeight="1" ht="19.5" hidden="1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0"/>
      <c r="T43" s="10"/>
      <c r="U43" s="1"/>
    </row>
    <row x14ac:dyDescent="0.25" r="44" customHeight="1" ht="19.5" hidden="1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0"/>
      <c r="T44" s="10"/>
      <c r="U44" s="1"/>
    </row>
    <row x14ac:dyDescent="0.25" r="45" customHeight="1" ht="19.5" hidden="1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0"/>
      <c r="T45" s="10"/>
      <c r="U45" s="1"/>
    </row>
    <row x14ac:dyDescent="0.25" r="46" customHeight="1" ht="19.5" hidden="1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0"/>
      <c r="T46" s="10"/>
      <c r="U46" s="1"/>
    </row>
    <row x14ac:dyDescent="0.25" r="47" customHeight="1" ht="19.5" hidden="1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0"/>
      <c r="T47" s="10"/>
      <c r="U47" s="1"/>
    </row>
    <row x14ac:dyDescent="0.25" r="48" customHeight="1" ht="19.5" hidden="1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0"/>
      <c r="T48" s="10"/>
      <c r="U48" s="1"/>
    </row>
    <row x14ac:dyDescent="0.25" r="49" customHeight="1" ht="19.5" hidden="1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0"/>
      <c r="T49" s="10"/>
      <c r="U49" s="1"/>
    </row>
    <row x14ac:dyDescent="0.25" r="50" customHeight="1" ht="19.5" hidden="1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0"/>
      <c r="T50" s="10"/>
      <c r="U50" s="1"/>
    </row>
    <row x14ac:dyDescent="0.25" r="51" customHeight="1" ht="19.5" hidden="1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0"/>
      <c r="T51" s="10"/>
      <c r="U51" s="1"/>
    </row>
    <row x14ac:dyDescent="0.25" r="52" customHeight="1" ht="19.5" hidden="1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0"/>
      <c r="T52" s="10"/>
      <c r="U52" s="1"/>
    </row>
    <row x14ac:dyDescent="0.25" r="53" customHeight="1" ht="19.5" hidden="1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0"/>
      <c r="T53" s="10"/>
      <c r="U53" s="1"/>
    </row>
    <row x14ac:dyDescent="0.25" r="54" customHeight="1" ht="19.5" hidden="1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0"/>
      <c r="T54" s="10"/>
      <c r="U54" s="1"/>
    </row>
    <row x14ac:dyDescent="0.25" r="55" customHeight="1" ht="19.5" hidden="1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0"/>
      <c r="T55" s="10"/>
      <c r="U55" s="1"/>
    </row>
    <row x14ac:dyDescent="0.25" r="56" customHeight="1" ht="19.5" hidden="1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0"/>
      <c r="T56" s="10"/>
      <c r="U56" s="1"/>
    </row>
    <row x14ac:dyDescent="0.25" r="57" customHeight="1" ht="19.5" hidden="1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0"/>
      <c r="T57" s="10"/>
      <c r="U57" s="1"/>
    </row>
    <row x14ac:dyDescent="0.25" r="58" customHeight="1" ht="19.5" hidden="1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0"/>
      <c r="T58" s="10"/>
      <c r="U58" s="1"/>
    </row>
    <row x14ac:dyDescent="0.25" r="59" customHeight="1" ht="19.5" hidden="1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0"/>
      <c r="T59" s="10"/>
      <c r="U59" s="1"/>
    </row>
    <row x14ac:dyDescent="0.25" r="60" customHeight="1" ht="19.5" hidden="1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0"/>
      <c r="T60" s="10"/>
      <c r="U60" s="1"/>
    </row>
    <row x14ac:dyDescent="0.25" r="61" customHeight="1" ht="19.5" hidden="1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0"/>
      <c r="T61" s="10"/>
      <c r="U61" s="1"/>
    </row>
    <row x14ac:dyDescent="0.25" r="62" customHeight="1" ht="19.5" hidden="1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0"/>
      <c r="T62" s="10"/>
      <c r="U62" s="1"/>
    </row>
    <row x14ac:dyDescent="0.25" r="63" customHeight="1" ht="19.5" hidden="1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0"/>
      <c r="T63" s="10"/>
      <c r="U63" s="1"/>
    </row>
    <row x14ac:dyDescent="0.25" r="64" customHeight="1" ht="19.5" hidden="1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0"/>
      <c r="T64" s="10"/>
      <c r="U64" s="1"/>
    </row>
    <row x14ac:dyDescent="0.25" r="65" customHeight="1" ht="19.5" hidden="1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0"/>
      <c r="T65" s="10"/>
      <c r="U65" s="1"/>
    </row>
    <row x14ac:dyDescent="0.25" r="66" customHeight="1" ht="19.5" hidden="1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0"/>
      <c r="T66" s="10"/>
      <c r="U66" s="1"/>
    </row>
    <row x14ac:dyDescent="0.25" r="67" customHeight="1" ht="19.5" hidden="1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0"/>
      <c r="T67" s="10"/>
      <c r="U67" s="1"/>
    </row>
    <row x14ac:dyDescent="0.25" r="68" customHeight="1" ht="19.5" hidden="1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0"/>
      <c r="T68" s="10"/>
      <c r="U68" s="1"/>
    </row>
    <row x14ac:dyDescent="0.25" r="69" customHeight="1" ht="19.5" hidden="1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0"/>
      <c r="T69" s="10"/>
      <c r="U69" s="1"/>
    </row>
    <row x14ac:dyDescent="0.25" r="70" customHeight="1" ht="19.5" hidden="1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0"/>
      <c r="T70" s="10"/>
      <c r="U70" s="1"/>
    </row>
    <row x14ac:dyDescent="0.25" r="71" customHeight="1" ht="19.5" hidden="1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0"/>
      <c r="T71" s="10"/>
      <c r="U71" s="1"/>
    </row>
    <row x14ac:dyDescent="0.25" r="72" customHeight="1" ht="19.5" hidden="1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0"/>
      <c r="T72" s="10"/>
      <c r="U72" s="1"/>
    </row>
    <row x14ac:dyDescent="0.25" r="73" customHeight="1" ht="19.5" hidden="1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0"/>
      <c r="T73" s="10"/>
      <c r="U73" s="1"/>
    </row>
    <row x14ac:dyDescent="0.25" r="74" customHeight="1" ht="19.5" hidden="1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0"/>
      <c r="T74" s="10"/>
      <c r="U74" s="1"/>
    </row>
    <row x14ac:dyDescent="0.25" r="75" customHeight="1" ht="19.5" hidden="1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0"/>
      <c r="T75" s="10"/>
      <c r="U75" s="1"/>
    </row>
    <row x14ac:dyDescent="0.25" r="76" customHeight="1" ht="19.5" hidden="1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0"/>
      <c r="T76" s="10"/>
      <c r="U76" s="1"/>
    </row>
    <row x14ac:dyDescent="0.25" r="77" customHeight="1" ht="19.5" hidden="1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0"/>
      <c r="T77" s="10"/>
      <c r="U77" s="1"/>
    </row>
    <row x14ac:dyDescent="0.25" r="78" customHeight="1" ht="19.5" hidden="1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0"/>
      <c r="T78" s="10"/>
      <c r="U78" s="1"/>
    </row>
    <row x14ac:dyDescent="0.25" r="79" customHeight="1" ht="19.5" hidden="1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0"/>
      <c r="T79" s="10"/>
      <c r="U79" s="1"/>
    </row>
    <row x14ac:dyDescent="0.25" r="80" customHeight="1" ht="19.5" hidden="1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0"/>
      <c r="T80" s="10"/>
      <c r="U80" s="1"/>
    </row>
    <row x14ac:dyDescent="0.25" r="81" customHeight="1" ht="19.5" hidden="1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0"/>
      <c r="T81" s="10"/>
      <c r="U81" s="1"/>
    </row>
    <row x14ac:dyDescent="0.25" r="82" customHeight="1" ht="19.5" hidden="1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0"/>
      <c r="T82" s="10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0"/>
      <c r="T83" s="10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0"/>
      <c r="T84" s="10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0"/>
      <c r="T85" s="10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0"/>
      <c r="T86" s="10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0"/>
      <c r="T87" s="10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0"/>
      <c r="T88" s="10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0"/>
      <c r="T89" s="10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0"/>
      <c r="T90" s="10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0"/>
      <c r="T91" s="10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0"/>
      <c r="T92" s="10"/>
      <c r="U92" s="1"/>
    </row>
    <row x14ac:dyDescent="0.25" r="93" customHeight="1" ht="19.5" hidden="1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0"/>
      <c r="T93" s="10"/>
      <c r="U93" s="1"/>
    </row>
    <row x14ac:dyDescent="0.25" r="94" customHeight="1" ht="19.5" hidden="1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0"/>
      <c r="T94" s="10"/>
      <c r="U94" s="1"/>
    </row>
    <row x14ac:dyDescent="0.25" r="95" customHeight="1" ht="19.5" hidden="1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0"/>
      <c r="T95" s="10"/>
      <c r="U95" s="1"/>
    </row>
    <row x14ac:dyDescent="0.25" r="96" customHeight="1" ht="19.5" hidden="1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0"/>
      <c r="T96" s="10"/>
      <c r="U96" s="1"/>
    </row>
    <row x14ac:dyDescent="0.25" r="97" customHeight="1" ht="19.5" hidden="1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0"/>
      <c r="T97" s="10"/>
      <c r="U97" s="1"/>
    </row>
    <row x14ac:dyDescent="0.25" r="98" customHeight="1" ht="19.5" hidden="1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0"/>
      <c r="T98" s="10"/>
      <c r="U98" s="1"/>
    </row>
    <row x14ac:dyDescent="0.25" r="99" customHeight="1" ht="19.5" hidden="1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0"/>
      <c r="T99" s="10"/>
      <c r="U99" s="1"/>
    </row>
    <row x14ac:dyDescent="0.25" r="100" customHeight="1" ht="19.5" hidden="1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0"/>
      <c r="T100" s="10"/>
      <c r="U100" s="1"/>
    </row>
    <row x14ac:dyDescent="0.25" r="101" customHeight="1" ht="19.5" hidden="1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0"/>
      <c r="T101" s="10"/>
      <c r="U101" s="1"/>
    </row>
    <row x14ac:dyDescent="0.25" r="102" customHeight="1" ht="19.5" hidden="1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0"/>
      <c r="T102" s="10"/>
      <c r="U102" s="1"/>
    </row>
    <row x14ac:dyDescent="0.25" r="103" customHeight="1" ht="19.5" hidden="1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0"/>
      <c r="T103" s="10"/>
      <c r="U103" s="1"/>
    </row>
    <row x14ac:dyDescent="0.25" r="104" customHeight="1" ht="19.5" hidden="1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0"/>
      <c r="T104" s="10"/>
      <c r="U104" s="1"/>
    </row>
    <row x14ac:dyDescent="0.25" r="105" customHeight="1" ht="19.5" hidden="1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0"/>
      <c r="T105" s="10"/>
      <c r="U105" s="1"/>
    </row>
    <row x14ac:dyDescent="0.25" r="106" customHeight="1" ht="19.5" hidden="1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0"/>
      <c r="T106" s="10"/>
      <c r="U106" s="1"/>
    </row>
    <row x14ac:dyDescent="0.25" r="107" customHeight="1" ht="19.5" hidden="1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0"/>
      <c r="T107" s="10"/>
      <c r="U107" s="1"/>
    </row>
    <row x14ac:dyDescent="0.25" r="108" customHeight="1" ht="19.5" hidden="1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0"/>
      <c r="T108" s="10"/>
      <c r="U108" s="1"/>
    </row>
    <row x14ac:dyDescent="0.25" r="109" customHeight="1" ht="19.5" hidden="1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0"/>
      <c r="T109" s="10"/>
      <c r="U109" s="1"/>
    </row>
    <row x14ac:dyDescent="0.25" r="110" customHeight="1" ht="19.5" hidden="1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0"/>
      <c r="T110" s="10"/>
      <c r="U110" s="1"/>
    </row>
    <row x14ac:dyDescent="0.25" r="111" customHeight="1" ht="19.5" hidden="1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0"/>
      <c r="T111" s="10"/>
      <c r="U111" s="1"/>
    </row>
    <row x14ac:dyDescent="0.25" r="112" customHeight="1" ht="19.5" hidden="1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0"/>
      <c r="T112" s="10"/>
      <c r="U112" s="1"/>
    </row>
    <row x14ac:dyDescent="0.25" r="113" customHeight="1" ht="19.5" hidden="1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0"/>
      <c r="T113" s="10"/>
      <c r="U113" s="1"/>
    </row>
    <row x14ac:dyDescent="0.25" r="114" customHeight="1" ht="19.5" hidden="1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0"/>
      <c r="T114" s="10"/>
      <c r="U114" s="1"/>
    </row>
    <row x14ac:dyDescent="0.25" r="115" customHeight="1" ht="19.5" hidden="1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0"/>
      <c r="T115" s="10"/>
      <c r="U115" s="1"/>
    </row>
    <row x14ac:dyDescent="0.25" r="116" customHeight="1" ht="19.5" hidden="1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0"/>
      <c r="T116" s="10"/>
      <c r="U116" s="1"/>
    </row>
    <row x14ac:dyDescent="0.25" r="117" customHeight="1" ht="19.5" hidden="1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0"/>
      <c r="T117" s="10"/>
      <c r="U117" s="1"/>
    </row>
    <row x14ac:dyDescent="0.25" r="118" customHeight="1" ht="19.5" hidden="1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0"/>
      <c r="T118" s="10"/>
      <c r="U118" s="1"/>
    </row>
    <row x14ac:dyDescent="0.25" r="119" customHeight="1" ht="19.5" hidden="1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0"/>
      <c r="T119" s="10"/>
      <c r="U119" s="1"/>
    </row>
    <row x14ac:dyDescent="0.25" r="120" customHeight="1" ht="19.5" hidden="1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0"/>
      <c r="T120" s="10"/>
      <c r="U120" s="1"/>
    </row>
    <row x14ac:dyDescent="0.25" r="121" customHeight="1" ht="19.5" hidden="1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0"/>
      <c r="T121" s="10"/>
      <c r="U121" s="1"/>
    </row>
    <row x14ac:dyDescent="0.25" r="122" customHeight="1" ht="19.5" hidden="1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0"/>
      <c r="T122" s="10"/>
      <c r="U122" s="1"/>
    </row>
    <row x14ac:dyDescent="0.25" r="123" customHeight="1" ht="19.5" hidden="1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0"/>
      <c r="T123" s="10"/>
      <c r="U123" s="1"/>
    </row>
    <row x14ac:dyDescent="0.25" r="124" customHeight="1" ht="19.5" hidden="1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0"/>
      <c r="T124" s="10"/>
      <c r="U124" s="1"/>
    </row>
    <row x14ac:dyDescent="0.25" r="125" customHeight="1" ht="19.5" hidden="1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0"/>
      <c r="T125" s="10"/>
      <c r="U125" s="1"/>
    </row>
    <row x14ac:dyDescent="0.25" r="126" customHeight="1" ht="19.5" hidden="1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0"/>
      <c r="T126" s="10"/>
      <c r="U126" s="1"/>
    </row>
    <row x14ac:dyDescent="0.25" r="127" customHeight="1" ht="19.5" hidden="1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0"/>
      <c r="T127" s="10"/>
      <c r="U127" s="1"/>
    </row>
    <row x14ac:dyDescent="0.25" r="128" customHeight="1" ht="19.5" hidden="1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0"/>
      <c r="T128" s="10"/>
      <c r="U128" s="1"/>
    </row>
    <row x14ac:dyDescent="0.25" r="129" customHeight="1" ht="19.5" hidden="1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0"/>
      <c r="T129" s="10"/>
      <c r="U129" s="1"/>
    </row>
    <row x14ac:dyDescent="0.25" r="130" customHeight="1" ht="19.5" hidden="1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0"/>
      <c r="T130" s="10"/>
      <c r="U130" s="1"/>
    </row>
    <row x14ac:dyDescent="0.25" r="131" customHeight="1" ht="19.5" hidden="1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0"/>
      <c r="T131" s="10"/>
      <c r="U131" s="1"/>
    </row>
    <row x14ac:dyDescent="0.25" r="132" customHeight="1" ht="19.5" hidden="1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0"/>
      <c r="T132" s="10"/>
      <c r="U132" s="1"/>
    </row>
    <row x14ac:dyDescent="0.25" r="133" customHeight="1" ht="19.5" hidden="1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0"/>
      <c r="T133" s="10"/>
      <c r="U133" s="1"/>
    </row>
    <row x14ac:dyDescent="0.25" r="134" customHeight="1" ht="19.5" hidden="1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0"/>
      <c r="T134" s="10"/>
      <c r="U134" s="1"/>
    </row>
    <row x14ac:dyDescent="0.25" r="135" customHeight="1" ht="19.5" hidden="1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0"/>
      <c r="T135" s="10"/>
      <c r="U135" s="1"/>
    </row>
    <row x14ac:dyDescent="0.25" r="136" customHeight="1" ht="19.5" hidden="1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0"/>
      <c r="T136" s="10"/>
      <c r="U136" s="1"/>
    </row>
    <row x14ac:dyDescent="0.25" r="137" customHeight="1" ht="19.5" hidden="1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0"/>
      <c r="T137" s="10"/>
      <c r="U137" s="1"/>
    </row>
    <row x14ac:dyDescent="0.25" r="138" customHeight="1" ht="19.5" hidden="1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0"/>
      <c r="T138" s="10"/>
      <c r="U138" s="1"/>
    </row>
    <row x14ac:dyDescent="0.25" r="139" customHeight="1" ht="19.5" hidden="1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0"/>
      <c r="T139" s="10"/>
      <c r="U139" s="1"/>
    </row>
    <row x14ac:dyDescent="0.25" r="140" customHeight="1" ht="19.5" hidden="1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0"/>
      <c r="T140" s="10"/>
      <c r="U140" s="1"/>
    </row>
    <row x14ac:dyDescent="0.25" r="141" customHeight="1" ht="19.5" hidden="1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0"/>
      <c r="T141" s="10"/>
      <c r="U141" s="1"/>
    </row>
    <row x14ac:dyDescent="0.25" r="142" customHeight="1" ht="19.5" hidden="1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0"/>
      <c r="T142" s="10"/>
      <c r="U142" s="1"/>
    </row>
    <row x14ac:dyDescent="0.25" r="143" customHeight="1" ht="19.5" hidden="1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0"/>
      <c r="T143" s="10"/>
      <c r="U143" s="1"/>
    </row>
    <row x14ac:dyDescent="0.25" r="144" customHeight="1" ht="19.5" hidden="1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0"/>
      <c r="T144" s="10"/>
      <c r="U144" s="1"/>
    </row>
    <row x14ac:dyDescent="0.25" r="145" customHeight="1" ht="19.5" hidden="1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0"/>
      <c r="T145" s="10"/>
      <c r="U145" s="1"/>
    </row>
    <row x14ac:dyDescent="0.25" r="146" customHeight="1" ht="19.5" hidden="1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0"/>
      <c r="T146" s="10"/>
      <c r="U146" s="1"/>
    </row>
    <row x14ac:dyDescent="0.25" r="147" customHeight="1" ht="19.5" hidden="1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0"/>
      <c r="T147" s="10"/>
      <c r="U147" s="1"/>
    </row>
    <row x14ac:dyDescent="0.25" r="148" customHeight="1" ht="19.5" hidden="1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0"/>
      <c r="T148" s="10"/>
      <c r="U148" s="1"/>
    </row>
    <row x14ac:dyDescent="0.25" r="149" customHeight="1" ht="19.5" hidden="1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0"/>
      <c r="T149" s="10"/>
      <c r="U149" s="1"/>
    </row>
    <row x14ac:dyDescent="0.25" r="150" customHeight="1" ht="19.5" hidden="1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0"/>
      <c r="T150" s="10"/>
      <c r="U150" s="1"/>
    </row>
    <row x14ac:dyDescent="0.25" r="151" customHeight="1" ht="19.5" hidden="1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0"/>
      <c r="T151" s="10"/>
      <c r="U151" s="1"/>
    </row>
    <row x14ac:dyDescent="0.25" r="152" customHeight="1" ht="19.5" hidden="1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0"/>
      <c r="T152" s="10"/>
      <c r="U152" s="1"/>
    </row>
    <row x14ac:dyDescent="0.25" r="153" customHeight="1" ht="19.5" hidden="1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0"/>
      <c r="T153" s="10"/>
      <c r="U153" s="1"/>
    </row>
    <row x14ac:dyDescent="0.25" r="154" customHeight="1" ht="19.5" hidden="1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0"/>
      <c r="T154" s="10"/>
      <c r="U154" s="1"/>
    </row>
    <row x14ac:dyDescent="0.25" r="155" customHeight="1" ht="19.5" hidden="1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0"/>
      <c r="T155" s="10"/>
      <c r="U155" s="1"/>
    </row>
    <row x14ac:dyDescent="0.25" r="156" customHeight="1" ht="19.5" hidden="1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0"/>
      <c r="T156" s="10"/>
      <c r="U156" s="1"/>
    </row>
    <row x14ac:dyDescent="0.25" r="157" customHeight="1" ht="19.5" hidden="1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0"/>
      <c r="T157" s="10"/>
      <c r="U157" s="1"/>
    </row>
    <row x14ac:dyDescent="0.25" r="158" customHeight="1" ht="19.5" hidden="1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0"/>
      <c r="T158" s="10"/>
      <c r="U158" s="1"/>
    </row>
    <row x14ac:dyDescent="0.25" r="159" customHeight="1" ht="19.5" hidden="1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0"/>
      <c r="T159" s="10"/>
      <c r="U159" s="1"/>
    </row>
    <row x14ac:dyDescent="0.25" r="160" customHeight="1" ht="19.5" hidden="1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0"/>
      <c r="T160" s="10"/>
      <c r="U160" s="1"/>
    </row>
    <row x14ac:dyDescent="0.25" r="161" customHeight="1" ht="19.5" hidden="1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0"/>
      <c r="T161" s="10"/>
      <c r="U161" s="1"/>
    </row>
    <row x14ac:dyDescent="0.25" r="162" customHeight="1" ht="19.5" hidden="1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0"/>
      <c r="T162" s="10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0"/>
      <c r="T163" s="10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0"/>
      <c r="T164" s="10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0"/>
      <c r="T165" s="10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0"/>
      <c r="T166" s="10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0"/>
      <c r="T167" s="10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0"/>
      <c r="T168" s="10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0"/>
      <c r="T169" s="10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0"/>
      <c r="T170" s="10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0"/>
      <c r="T171" s="10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0"/>
      <c r="T172" s="10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0"/>
      <c r="T173" s="10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0"/>
      <c r="T174" s="10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0"/>
      <c r="T175" s="10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0"/>
      <c r="T176" s="10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0"/>
      <c r="T177" s="10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0"/>
      <c r="T178" s="10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0"/>
      <c r="T179" s="10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0"/>
      <c r="T180" s="10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0"/>
      <c r="T181" s="10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0"/>
      <c r="T182" s="10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0"/>
      <c r="T183" s="10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0"/>
      <c r="T184" s="10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0"/>
      <c r="T185" s="10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0"/>
      <c r="T186" s="10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0"/>
      <c r="T187" s="10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0"/>
      <c r="T188" s="10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0"/>
      <c r="T189" s="10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0"/>
      <c r="T190" s="10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0"/>
      <c r="T191" s="10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0"/>
      <c r="T192" s="10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0"/>
      <c r="T193" s="10"/>
      <c r="U193" s="1"/>
    </row>
  </sheetData>
  <mergeCells count="65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P13:T13"/>
    <mergeCell ref="C14:D14"/>
    <mergeCell ref="M14:N14"/>
    <mergeCell ref="P15:P16"/>
    <mergeCell ref="Q15:R16"/>
    <mergeCell ref="P18:Q18"/>
    <mergeCell ref="R18:T18"/>
    <mergeCell ref="P21:Q21"/>
    <mergeCell ref="R21:T21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338">
        <v>14</v>
      </c>
      <c r="D28" s="339" t="s">
        <v>366</v>
      </c>
      <c r="E28" s="343" t="s">
        <v>367</v>
      </c>
      <c r="F28" s="346" t="s">
        <v>368</v>
      </c>
      <c r="G28" s="341" t="s">
        <v>369</v>
      </c>
      <c r="H28" s="340" t="s">
        <v>223</v>
      </c>
      <c r="I28" s="74">
        <v>3</v>
      </c>
      <c r="J28" s="74">
        <v>5</v>
      </c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 hidden="1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 hidden="1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 hidden="1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 hidden="1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 hidden="1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 hidden="1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 hidden="1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 hidden="1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 hidden="1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 hidden="1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338">
        <v>16</v>
      </c>
      <c r="D27" s="339" t="s">
        <v>362</v>
      </c>
      <c r="E27" s="339" t="s">
        <v>363</v>
      </c>
      <c r="F27" s="339" t="s">
        <v>364</v>
      </c>
      <c r="G27" s="341" t="s">
        <v>365</v>
      </c>
      <c r="H27" s="340" t="s">
        <v>223</v>
      </c>
      <c r="I27" s="74">
        <v>3</v>
      </c>
      <c r="J27" s="74">
        <v>5</v>
      </c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 hidden="1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 hidden="1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 hidden="1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 hidden="1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 hidden="1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 hidden="1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 hidden="1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 hidden="1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 hidden="1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 hidden="1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338">
        <v>19</v>
      </c>
      <c r="D135" s="339" t="s">
        <v>267</v>
      </c>
      <c r="E135" s="339" t="s">
        <v>358</v>
      </c>
      <c r="F135" s="339" t="s">
        <v>359</v>
      </c>
      <c r="G135" s="341" t="s">
        <v>360</v>
      </c>
      <c r="H135" s="341" t="s">
        <v>361</v>
      </c>
      <c r="I135" s="74">
        <v>3</v>
      </c>
      <c r="J135" s="74">
        <v>32</v>
      </c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144" width="14.43357142857143" customWidth="1" bestFit="1"/>
    <col min="20" max="20" style="144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14"/>
      <c r="T1" s="14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18"/>
      <c r="T2" s="18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0"/>
      <c r="T3" s="10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34"/>
      <c r="T4" s="10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34"/>
      <c r="T5" s="10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17"/>
      <c r="T6" s="17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39"/>
      <c r="T7" s="39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40" t="s">
        <v>22</v>
      </c>
      <c r="T8" s="40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18"/>
      <c r="T11" s="18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0"/>
      <c r="T12" s="10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4" t="s">
        <v>24</v>
      </c>
      <c r="Q13" s="14"/>
      <c r="R13" s="14"/>
      <c r="S13" s="14"/>
      <c r="T13" s="14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0"/>
      <c r="T14" s="10"/>
      <c r="U14" s="1"/>
    </row>
    <row x14ac:dyDescent="0.25" r="15" customHeight="1" ht="16.5">
      <c r="A15" s="1"/>
      <c r="B15" s="20">
        <v>1</v>
      </c>
      <c r="C15" s="68"/>
      <c r="D15" s="68"/>
      <c r="E15" s="68"/>
      <c r="F15" s="68"/>
      <c r="G15" s="68"/>
      <c r="H15" s="68"/>
      <c r="I15" s="68"/>
      <c r="J15" s="68"/>
      <c r="K15" s="36">
        <f>(I15+J15)*10000</f>
      </c>
      <c r="L15" s="36">
        <f>K15*L13</f>
      </c>
      <c r="M15" s="34"/>
      <c r="N15" s="10"/>
      <c r="O15" s="13"/>
      <c r="P15" s="51" t="s">
        <v>16</v>
      </c>
      <c r="Q15" s="52">
        <f>P21-R21</f>
      </c>
      <c r="R15" s="53"/>
      <c r="S15" s="10"/>
      <c r="T15" s="10"/>
      <c r="U15" s="1"/>
    </row>
    <row x14ac:dyDescent="0.25" r="16" customHeight="1" ht="16.5">
      <c r="A16" s="1"/>
      <c r="B16" s="20">
        <v>2</v>
      </c>
      <c r="C16" s="68"/>
      <c r="D16" s="68"/>
      <c r="E16" s="68"/>
      <c r="F16" s="68"/>
      <c r="G16" s="68"/>
      <c r="H16" s="68"/>
      <c r="I16" s="68"/>
      <c r="J16" s="68"/>
      <c r="K16" s="36">
        <f>(I16+J16)*10000</f>
      </c>
      <c r="L16" s="36">
        <f>K16*L13</f>
      </c>
      <c r="M16" s="34"/>
      <c r="N16" s="10"/>
      <c r="O16" s="13"/>
      <c r="P16" s="54"/>
      <c r="Q16" s="55"/>
      <c r="R16" s="56"/>
      <c r="S16" s="10"/>
      <c r="T16" s="10"/>
      <c r="U16" s="1"/>
    </row>
    <row x14ac:dyDescent="0.25" r="17" customHeight="1" ht="19.5">
      <c r="A17" s="1"/>
      <c r="B17" s="20">
        <v>3</v>
      </c>
      <c r="C17" s="68"/>
      <c r="D17" s="68"/>
      <c r="E17" s="68"/>
      <c r="F17" s="68"/>
      <c r="G17" s="68"/>
      <c r="H17" s="68"/>
      <c r="I17" s="68"/>
      <c r="J17" s="68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0"/>
      <c r="T17" s="10"/>
      <c r="U17" s="1"/>
    </row>
    <row x14ac:dyDescent="0.25" r="18" customHeight="1" ht="19.5">
      <c r="A18" s="1"/>
      <c r="B18" s="20">
        <v>4</v>
      </c>
      <c r="C18" s="68"/>
      <c r="D18" s="68"/>
      <c r="E18" s="68"/>
      <c r="F18" s="68"/>
      <c r="G18" s="68"/>
      <c r="H18" s="68"/>
      <c r="I18" s="68"/>
      <c r="J18" s="68"/>
      <c r="K18" s="36">
        <f>(I18+J18)*10000</f>
      </c>
      <c r="L18" s="36">
        <f>K18*L13</f>
      </c>
      <c r="M18" s="34"/>
      <c r="N18" s="10"/>
      <c r="O18" s="13"/>
      <c r="P18" s="57" t="s">
        <v>17</v>
      </c>
      <c r="Q18" s="58"/>
      <c r="R18" s="59" t="s">
        <v>18</v>
      </c>
      <c r="S18" s="59"/>
      <c r="T18" s="58"/>
      <c r="U18" s="19"/>
    </row>
    <row x14ac:dyDescent="0.25" r="19" customHeight="1" ht="19.5">
      <c r="A19" s="1"/>
      <c r="B19" s="20">
        <v>5</v>
      </c>
      <c r="C19" s="68"/>
      <c r="D19" s="68"/>
      <c r="E19" s="68"/>
      <c r="F19" s="68"/>
      <c r="G19" s="68"/>
      <c r="H19" s="68"/>
      <c r="I19" s="68"/>
      <c r="J19" s="68"/>
      <c r="K19" s="36">
        <f>(I19+J19)*10000</f>
      </c>
      <c r="L19" s="36">
        <f>K19*L13</f>
      </c>
      <c r="M19" s="34"/>
      <c r="N19" s="10"/>
      <c r="O19" s="13"/>
      <c r="P19" s="60" t="s">
        <v>19</v>
      </c>
      <c r="Q19" s="61" t="s">
        <v>20</v>
      </c>
      <c r="R19" s="61" t="s">
        <v>21</v>
      </c>
      <c r="S19" s="61" t="s">
        <v>22</v>
      </c>
      <c r="T19" s="61" t="s">
        <v>20</v>
      </c>
      <c r="U19" s="19"/>
    </row>
    <row x14ac:dyDescent="0.25" r="20" customHeight="1" ht="19.5">
      <c r="A20" s="1"/>
      <c r="B20" s="20">
        <v>6</v>
      </c>
      <c r="C20" s="68"/>
      <c r="D20" s="68"/>
      <c r="E20" s="68"/>
      <c r="F20" s="68"/>
      <c r="G20" s="68"/>
      <c r="H20" s="68"/>
      <c r="I20" s="68"/>
      <c r="J20" s="68"/>
      <c r="K20" s="36">
        <f>(I20+J20)*10000</f>
      </c>
      <c r="L20" s="36">
        <f>K20*L13</f>
      </c>
      <c r="M20" s="34"/>
      <c r="N20" s="10"/>
      <c r="O20" s="13"/>
      <c r="P20" s="62">
        <f>SUM(P9,'8'!P9,'7'!P9,'6'!P9,'5'!P9,'4'!P9,'3'!P9)</f>
      </c>
      <c r="Q20" s="62">
        <f>SUM(Q9,'8'!Q9,'7'!Q9,'6'!Q9,'5'!Q9,'4'!Q9,'3'!Q9)</f>
      </c>
      <c r="R20" s="62">
        <f>SUM(R9,'8'!R9,'7'!R9,'6'!R9,'5'!R9,'4'!R9,'3'!R9)</f>
      </c>
      <c r="S20" s="62">
        <f>SUM(S9,'8'!S9,'7'!S9,'6'!S9,'5'!S9,'4'!S9,'3'!S9)</f>
      </c>
      <c r="T20" s="62">
        <f>SUM(T9,'8'!T9,'7'!T9,'6'!T9,'5'!T9,'4'!T9,'3'!T9)</f>
      </c>
      <c r="U20" s="19"/>
    </row>
    <row x14ac:dyDescent="0.25" r="21" customHeight="1" ht="19.5">
      <c r="A21" s="1"/>
      <c r="B21" s="20">
        <v>7</v>
      </c>
      <c r="C21" s="68"/>
      <c r="D21" s="68"/>
      <c r="E21" s="68"/>
      <c r="F21" s="68"/>
      <c r="G21" s="68"/>
      <c r="H21" s="68"/>
      <c r="I21" s="68"/>
      <c r="J21" s="68"/>
      <c r="K21" s="36">
        <f>(I21+J21)*10000</f>
      </c>
      <c r="L21" s="36">
        <f>K21*L13</f>
      </c>
      <c r="M21" s="34"/>
      <c r="N21" s="10"/>
      <c r="O21" s="13"/>
      <c r="P21" s="63">
        <f>SUM(P20:Q20)</f>
      </c>
      <c r="Q21" s="64"/>
      <c r="R21" s="65">
        <f>SUM(R20:T20)</f>
      </c>
      <c r="S21" s="66"/>
      <c r="T21" s="67"/>
      <c r="U21" s="19"/>
    </row>
    <row x14ac:dyDescent="0.25" r="22" customHeight="1" ht="19.5">
      <c r="A22" s="1"/>
      <c r="B22" s="20">
        <v>8</v>
      </c>
      <c r="C22" s="68"/>
      <c r="D22" s="68"/>
      <c r="E22" s="68"/>
      <c r="F22" s="68"/>
      <c r="G22" s="68"/>
      <c r="H22" s="68"/>
      <c r="I22" s="68"/>
      <c r="J22" s="68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18"/>
      <c r="T22" s="18"/>
      <c r="U22" s="1"/>
    </row>
    <row x14ac:dyDescent="0.25" r="23" customHeight="1" ht="19.5" hidden="1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0"/>
      <c r="T23" s="10"/>
      <c r="U23" s="1"/>
    </row>
    <row x14ac:dyDescent="0.25" r="24" customHeight="1" ht="19.5" hidden="1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0"/>
      <c r="T24" s="10"/>
      <c r="U24" s="1"/>
    </row>
    <row x14ac:dyDescent="0.25" r="25" customHeight="1" ht="19.5" hidden="1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0"/>
      <c r="T25" s="10"/>
      <c r="U25" s="1"/>
    </row>
    <row x14ac:dyDescent="0.25" r="26" customHeight="1" ht="19.5" hidden="1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0"/>
      <c r="T26" s="10"/>
      <c r="U26" s="1"/>
    </row>
    <row x14ac:dyDescent="0.25" r="27" customHeight="1" ht="19.5" hidden="1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0"/>
      <c r="T27" s="10"/>
      <c r="U27" s="1"/>
    </row>
    <row x14ac:dyDescent="0.25" r="28" customHeight="1" ht="19.5" hidden="1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0"/>
      <c r="T28" s="10"/>
      <c r="U28" s="1"/>
    </row>
    <row x14ac:dyDescent="0.25" r="29" customHeight="1" ht="19.5" hidden="1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0"/>
      <c r="T29" s="10"/>
      <c r="U29" s="1"/>
    </row>
    <row x14ac:dyDescent="0.25" r="30" customHeight="1" ht="19.5" hidden="1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0"/>
      <c r="T30" s="10"/>
      <c r="U30" s="1"/>
    </row>
    <row x14ac:dyDescent="0.25" r="31" customHeight="1" ht="19.5" hidden="1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0"/>
      <c r="T31" s="10"/>
      <c r="U31" s="1"/>
    </row>
    <row x14ac:dyDescent="0.25" r="32" customHeight="1" ht="19.5" hidden="1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0"/>
      <c r="T32" s="10"/>
      <c r="U32" s="1"/>
    </row>
    <row x14ac:dyDescent="0.25" r="33" customHeight="1" ht="19.5" hidden="1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0"/>
      <c r="T33" s="10"/>
      <c r="U33" s="1"/>
    </row>
    <row x14ac:dyDescent="0.25" r="34" customHeight="1" ht="19.5" hidden="1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0"/>
      <c r="T34" s="10"/>
      <c r="U34" s="1"/>
    </row>
    <row x14ac:dyDescent="0.25" r="35" customHeight="1" ht="19.5" hidden="1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0"/>
      <c r="T35" s="10"/>
      <c r="U35" s="1"/>
    </row>
    <row x14ac:dyDescent="0.25" r="36" customHeight="1" ht="19.5" hidden="1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0"/>
      <c r="T36" s="10"/>
      <c r="U36" s="1"/>
    </row>
    <row x14ac:dyDescent="0.25" r="37" customHeight="1" ht="19.5" hidden="1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0"/>
      <c r="T37" s="10"/>
      <c r="U37" s="1"/>
    </row>
    <row x14ac:dyDescent="0.25" r="38" customHeight="1" ht="19.5" hidden="1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0"/>
      <c r="T38" s="10"/>
      <c r="U38" s="1"/>
    </row>
    <row x14ac:dyDescent="0.25" r="39" customHeight="1" ht="19.5" hidden="1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0"/>
      <c r="T39" s="10"/>
      <c r="U39" s="1"/>
    </row>
    <row x14ac:dyDescent="0.25" r="40" customHeight="1" ht="19.5" hidden="1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0"/>
      <c r="T40" s="10"/>
      <c r="U40" s="1"/>
    </row>
    <row x14ac:dyDescent="0.25" r="41" customHeight="1" ht="19.5" hidden="1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0"/>
      <c r="T41" s="10"/>
      <c r="U41" s="1"/>
    </row>
    <row x14ac:dyDescent="0.25" r="42" customHeight="1" ht="19.5" hidden="1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0"/>
      <c r="T42" s="10"/>
      <c r="U42" s="1"/>
    </row>
    <row x14ac:dyDescent="0.25" r="43" customHeight="1" ht="19.5" hidden="1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0"/>
      <c r="T43" s="10"/>
      <c r="U43" s="1"/>
    </row>
    <row x14ac:dyDescent="0.25" r="44" customHeight="1" ht="19.5" hidden="1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0"/>
      <c r="T44" s="10"/>
      <c r="U44" s="1"/>
    </row>
    <row x14ac:dyDescent="0.25" r="45" customHeight="1" ht="19.5" hidden="1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0"/>
      <c r="T45" s="10"/>
      <c r="U45" s="1"/>
    </row>
    <row x14ac:dyDescent="0.25" r="46" customHeight="1" ht="19.5" hidden="1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0"/>
      <c r="T46" s="10"/>
      <c r="U46" s="1"/>
    </row>
    <row x14ac:dyDescent="0.25" r="47" customHeight="1" ht="19.5" hidden="1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0"/>
      <c r="T47" s="10"/>
      <c r="U47" s="1"/>
    </row>
    <row x14ac:dyDescent="0.25" r="48" customHeight="1" ht="19.5" hidden="1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0"/>
      <c r="T48" s="10"/>
      <c r="U48" s="1"/>
    </row>
    <row x14ac:dyDescent="0.25" r="49" customHeight="1" ht="19.5" hidden="1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0"/>
      <c r="T49" s="10"/>
      <c r="U49" s="1"/>
    </row>
    <row x14ac:dyDescent="0.25" r="50" customHeight="1" ht="19.5" hidden="1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0"/>
      <c r="T50" s="10"/>
      <c r="U50" s="1"/>
    </row>
    <row x14ac:dyDescent="0.25" r="51" customHeight="1" ht="19.5" hidden="1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0"/>
      <c r="T51" s="10"/>
      <c r="U51" s="1"/>
    </row>
    <row x14ac:dyDescent="0.25" r="52" customHeight="1" ht="19.5" hidden="1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0"/>
      <c r="T52" s="10"/>
      <c r="U52" s="1"/>
    </row>
    <row x14ac:dyDescent="0.25" r="53" customHeight="1" ht="19.5" hidden="1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0"/>
      <c r="T53" s="10"/>
      <c r="U53" s="1"/>
    </row>
    <row x14ac:dyDescent="0.25" r="54" customHeight="1" ht="19.5" hidden="1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0"/>
      <c r="T54" s="10"/>
      <c r="U54" s="1"/>
    </row>
    <row x14ac:dyDescent="0.25" r="55" customHeight="1" ht="19.5" hidden="1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0"/>
      <c r="T55" s="10"/>
      <c r="U55" s="1"/>
    </row>
    <row x14ac:dyDescent="0.25" r="56" customHeight="1" ht="19.5" hidden="1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0"/>
      <c r="T56" s="10"/>
      <c r="U56" s="1"/>
    </row>
    <row x14ac:dyDescent="0.25" r="57" customHeight="1" ht="19.5" hidden="1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0"/>
      <c r="T57" s="10"/>
      <c r="U57" s="1"/>
    </row>
    <row x14ac:dyDescent="0.25" r="58" customHeight="1" ht="19.5" hidden="1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0"/>
      <c r="T58" s="10"/>
      <c r="U58" s="1"/>
    </row>
    <row x14ac:dyDescent="0.25" r="59" customHeight="1" ht="19.5" hidden="1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0"/>
      <c r="T59" s="10"/>
      <c r="U59" s="1"/>
    </row>
    <row x14ac:dyDescent="0.25" r="60" customHeight="1" ht="19.5" hidden="1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0"/>
      <c r="T60" s="10"/>
      <c r="U60" s="1"/>
    </row>
    <row x14ac:dyDescent="0.25" r="61" customHeight="1" ht="19.5" hidden="1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0"/>
      <c r="T61" s="10"/>
      <c r="U61" s="1"/>
    </row>
    <row x14ac:dyDescent="0.25" r="62" customHeight="1" ht="19.5" hidden="1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0"/>
      <c r="T62" s="10"/>
      <c r="U62" s="1"/>
    </row>
    <row x14ac:dyDescent="0.25" r="63" customHeight="1" ht="19.5" hidden="1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0"/>
      <c r="T63" s="10"/>
      <c r="U63" s="1"/>
    </row>
    <row x14ac:dyDescent="0.25" r="64" customHeight="1" ht="19.5" hidden="1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0"/>
      <c r="T64" s="10"/>
      <c r="U64" s="1"/>
    </row>
    <row x14ac:dyDescent="0.25" r="65" customHeight="1" ht="19.5" hidden="1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0"/>
      <c r="T65" s="10"/>
      <c r="U65" s="1"/>
    </row>
    <row x14ac:dyDescent="0.25" r="66" customHeight="1" ht="19.5" hidden="1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0"/>
      <c r="T66" s="10"/>
      <c r="U66" s="1"/>
    </row>
    <row x14ac:dyDescent="0.25" r="67" customHeight="1" ht="19.5" hidden="1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0"/>
      <c r="T67" s="10"/>
      <c r="U67" s="1"/>
    </row>
    <row x14ac:dyDescent="0.25" r="68" customHeight="1" ht="19.5" hidden="1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0"/>
      <c r="T68" s="10"/>
      <c r="U68" s="1"/>
    </row>
    <row x14ac:dyDescent="0.25" r="69" customHeight="1" ht="19.5" hidden="1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0"/>
      <c r="T69" s="10"/>
      <c r="U69" s="1"/>
    </row>
    <row x14ac:dyDescent="0.25" r="70" customHeight="1" ht="19.5" hidden="1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0"/>
      <c r="T70" s="10"/>
      <c r="U70" s="1"/>
    </row>
    <row x14ac:dyDescent="0.25" r="71" customHeight="1" ht="19.5" hidden="1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0"/>
      <c r="T71" s="10"/>
      <c r="U71" s="1"/>
    </row>
    <row x14ac:dyDescent="0.25" r="72" customHeight="1" ht="19.5" hidden="1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0"/>
      <c r="T72" s="10"/>
      <c r="U72" s="1"/>
    </row>
    <row x14ac:dyDescent="0.25" r="73" customHeight="1" ht="19.5" hidden="1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0"/>
      <c r="T73" s="10"/>
      <c r="U73" s="1"/>
    </row>
    <row x14ac:dyDescent="0.25" r="74" customHeight="1" ht="19.5" hidden="1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0"/>
      <c r="T74" s="10"/>
      <c r="U74" s="1"/>
    </row>
    <row x14ac:dyDescent="0.25" r="75" customHeight="1" ht="19.5" hidden="1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0"/>
      <c r="T75" s="10"/>
      <c r="U75" s="1"/>
    </row>
    <row x14ac:dyDescent="0.25" r="76" customHeight="1" ht="19.5" hidden="1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0"/>
      <c r="T76" s="10"/>
      <c r="U76" s="1"/>
    </row>
    <row x14ac:dyDescent="0.25" r="77" customHeight="1" ht="19.5" hidden="1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0"/>
      <c r="T77" s="10"/>
      <c r="U77" s="1"/>
    </row>
    <row x14ac:dyDescent="0.25" r="78" customHeight="1" ht="19.5" hidden="1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0"/>
      <c r="T78" s="10"/>
      <c r="U78" s="1"/>
    </row>
    <row x14ac:dyDescent="0.25" r="79" customHeight="1" ht="19.5" hidden="1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0"/>
      <c r="T79" s="10"/>
      <c r="U79" s="1"/>
    </row>
    <row x14ac:dyDescent="0.25" r="80" customHeight="1" ht="19.5" hidden="1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0"/>
      <c r="T80" s="10"/>
      <c r="U80" s="1"/>
    </row>
    <row x14ac:dyDescent="0.25" r="81" customHeight="1" ht="19.5" hidden="1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0"/>
      <c r="T81" s="10"/>
      <c r="U81" s="1"/>
    </row>
    <row x14ac:dyDescent="0.25" r="82" customHeight="1" ht="19.5" hidden="1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0"/>
      <c r="T82" s="10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0"/>
      <c r="T83" s="10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0"/>
      <c r="T84" s="10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0"/>
      <c r="T85" s="10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0"/>
      <c r="T86" s="10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0"/>
      <c r="T87" s="10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0"/>
      <c r="T88" s="10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0"/>
      <c r="T89" s="10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0"/>
      <c r="T90" s="10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0"/>
      <c r="T91" s="10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0"/>
      <c r="T92" s="10"/>
      <c r="U92" s="1"/>
    </row>
    <row x14ac:dyDescent="0.25" r="93" customHeight="1" ht="19.5" hidden="1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0"/>
      <c r="T93" s="10"/>
      <c r="U93" s="1"/>
    </row>
    <row x14ac:dyDescent="0.25" r="94" customHeight="1" ht="19.5" hidden="1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0"/>
      <c r="T94" s="10"/>
      <c r="U94" s="1"/>
    </row>
    <row x14ac:dyDescent="0.25" r="95" customHeight="1" ht="19.5" hidden="1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0"/>
      <c r="T95" s="10"/>
      <c r="U95" s="1"/>
    </row>
    <row x14ac:dyDescent="0.25" r="96" customHeight="1" ht="19.5" hidden="1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0"/>
      <c r="T96" s="10"/>
      <c r="U96" s="1"/>
    </row>
    <row x14ac:dyDescent="0.25" r="97" customHeight="1" ht="19.5" hidden="1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0"/>
      <c r="T97" s="10"/>
      <c r="U97" s="1"/>
    </row>
    <row x14ac:dyDescent="0.25" r="98" customHeight="1" ht="19.5" hidden="1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0"/>
      <c r="T98" s="10"/>
      <c r="U98" s="1"/>
    </row>
    <row x14ac:dyDescent="0.25" r="99" customHeight="1" ht="19.5" hidden="1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0"/>
      <c r="T99" s="10"/>
      <c r="U99" s="1"/>
    </row>
    <row x14ac:dyDescent="0.25" r="100" customHeight="1" ht="19.5" hidden="1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0"/>
      <c r="T100" s="10"/>
      <c r="U100" s="1"/>
    </row>
    <row x14ac:dyDescent="0.25" r="101" customHeight="1" ht="19.5" hidden="1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0"/>
      <c r="T101" s="10"/>
      <c r="U101" s="1"/>
    </row>
    <row x14ac:dyDescent="0.25" r="102" customHeight="1" ht="19.5" hidden="1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0"/>
      <c r="T102" s="10"/>
      <c r="U102" s="1"/>
    </row>
    <row x14ac:dyDescent="0.25" r="103" customHeight="1" ht="19.5" hidden="1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0"/>
      <c r="T103" s="10"/>
      <c r="U103" s="1"/>
    </row>
    <row x14ac:dyDescent="0.25" r="104" customHeight="1" ht="19.5" hidden="1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0"/>
      <c r="T104" s="10"/>
      <c r="U104" s="1"/>
    </row>
    <row x14ac:dyDescent="0.25" r="105" customHeight="1" ht="19.5" hidden="1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0"/>
      <c r="T105" s="10"/>
      <c r="U105" s="1"/>
    </row>
    <row x14ac:dyDescent="0.25" r="106" customHeight="1" ht="19.5" hidden="1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0"/>
      <c r="T106" s="10"/>
      <c r="U106" s="1"/>
    </row>
    <row x14ac:dyDescent="0.25" r="107" customHeight="1" ht="19.5" hidden="1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0"/>
      <c r="T107" s="10"/>
      <c r="U107" s="1"/>
    </row>
    <row x14ac:dyDescent="0.25" r="108" customHeight="1" ht="19.5" hidden="1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0"/>
      <c r="T108" s="10"/>
      <c r="U108" s="1"/>
    </row>
    <row x14ac:dyDescent="0.25" r="109" customHeight="1" ht="19.5" hidden="1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0"/>
      <c r="T109" s="10"/>
      <c r="U109" s="1"/>
    </row>
    <row x14ac:dyDescent="0.25" r="110" customHeight="1" ht="19.5" hidden="1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0"/>
      <c r="T110" s="10"/>
      <c r="U110" s="1"/>
    </row>
    <row x14ac:dyDescent="0.25" r="111" customHeight="1" ht="19.5" hidden="1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0"/>
      <c r="T111" s="10"/>
      <c r="U111" s="1"/>
    </row>
    <row x14ac:dyDescent="0.25" r="112" customHeight="1" ht="19.5" hidden="1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0"/>
      <c r="T112" s="10"/>
      <c r="U112" s="1"/>
    </row>
    <row x14ac:dyDescent="0.25" r="113" customHeight="1" ht="19.5" hidden="1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0"/>
      <c r="T113" s="10"/>
      <c r="U113" s="1"/>
    </row>
    <row x14ac:dyDescent="0.25" r="114" customHeight="1" ht="19.5" hidden="1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0"/>
      <c r="T114" s="10"/>
      <c r="U114" s="1"/>
    </row>
    <row x14ac:dyDescent="0.25" r="115" customHeight="1" ht="19.5" hidden="1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0"/>
      <c r="T115" s="10"/>
      <c r="U115" s="1"/>
    </row>
    <row x14ac:dyDescent="0.25" r="116" customHeight="1" ht="19.5" hidden="1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0"/>
      <c r="T116" s="10"/>
      <c r="U116" s="1"/>
    </row>
    <row x14ac:dyDescent="0.25" r="117" customHeight="1" ht="19.5" hidden="1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0"/>
      <c r="T117" s="10"/>
      <c r="U117" s="1"/>
    </row>
    <row x14ac:dyDescent="0.25" r="118" customHeight="1" ht="19.5" hidden="1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0"/>
      <c r="T118" s="10"/>
      <c r="U118" s="1"/>
    </row>
    <row x14ac:dyDescent="0.25" r="119" customHeight="1" ht="19.5" hidden="1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0"/>
      <c r="T119" s="10"/>
      <c r="U119" s="1"/>
    </row>
    <row x14ac:dyDescent="0.25" r="120" customHeight="1" ht="19.5" hidden="1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0"/>
      <c r="T120" s="10"/>
      <c r="U120" s="1"/>
    </row>
    <row x14ac:dyDescent="0.25" r="121" customHeight="1" ht="19.5" hidden="1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0"/>
      <c r="T121" s="10"/>
      <c r="U121" s="1"/>
    </row>
    <row x14ac:dyDescent="0.25" r="122" customHeight="1" ht="19.5" hidden="1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0"/>
      <c r="T122" s="10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0"/>
      <c r="T123" s="10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0"/>
      <c r="T124" s="10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0"/>
      <c r="T125" s="10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0"/>
      <c r="T126" s="10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0"/>
      <c r="T127" s="10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0"/>
      <c r="T128" s="10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0"/>
      <c r="T129" s="10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0"/>
      <c r="T130" s="10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0"/>
      <c r="T131" s="10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0"/>
      <c r="T132" s="10"/>
      <c r="U132" s="1"/>
    </row>
    <row x14ac:dyDescent="0.25" r="133" customHeight="1" ht="19.5" hidden="1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0"/>
      <c r="T133" s="10"/>
      <c r="U133" s="1"/>
    </row>
    <row x14ac:dyDescent="0.25" r="134" customHeight="1" ht="19.5" hidden="1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0"/>
      <c r="T134" s="10"/>
      <c r="U134" s="1"/>
    </row>
    <row x14ac:dyDescent="0.25" r="135" customHeight="1" ht="19.5" hidden="1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0"/>
      <c r="T135" s="10"/>
      <c r="U135" s="1"/>
    </row>
    <row x14ac:dyDescent="0.25" r="136" customHeight="1" ht="19.5" hidden="1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0"/>
      <c r="T136" s="10"/>
      <c r="U136" s="1"/>
    </row>
    <row x14ac:dyDescent="0.25" r="137" customHeight="1" ht="19.5" hidden="1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0"/>
      <c r="T137" s="10"/>
      <c r="U137" s="1"/>
    </row>
    <row x14ac:dyDescent="0.25" r="138" customHeight="1" ht="19.5" hidden="1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0"/>
      <c r="T138" s="10"/>
      <c r="U138" s="1"/>
    </row>
    <row x14ac:dyDescent="0.25" r="139" customHeight="1" ht="19.5" hidden="1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0"/>
      <c r="T139" s="10"/>
      <c r="U139" s="1"/>
    </row>
    <row x14ac:dyDescent="0.25" r="140" customHeight="1" ht="19.5" hidden="1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0"/>
      <c r="T140" s="10"/>
      <c r="U140" s="1"/>
    </row>
    <row x14ac:dyDescent="0.25" r="141" customHeight="1" ht="19.5" hidden="1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0"/>
      <c r="T141" s="10"/>
      <c r="U141" s="1"/>
    </row>
    <row x14ac:dyDescent="0.25" r="142" customHeight="1" ht="19.5" hidden="1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0"/>
      <c r="T142" s="10"/>
      <c r="U142" s="1"/>
    </row>
    <row x14ac:dyDescent="0.25" r="143" customHeight="1" ht="19.5" hidden="1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0"/>
      <c r="T143" s="10"/>
      <c r="U143" s="1"/>
    </row>
    <row x14ac:dyDescent="0.25" r="144" customHeight="1" ht="19.5" hidden="1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0"/>
      <c r="T144" s="10"/>
      <c r="U144" s="1"/>
    </row>
    <row x14ac:dyDescent="0.25" r="145" customHeight="1" ht="19.5" hidden="1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0"/>
      <c r="T145" s="10"/>
      <c r="U145" s="1"/>
    </row>
    <row x14ac:dyDescent="0.25" r="146" customHeight="1" ht="19.5" hidden="1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0"/>
      <c r="T146" s="10"/>
      <c r="U146" s="1"/>
    </row>
    <row x14ac:dyDescent="0.25" r="147" customHeight="1" ht="19.5" hidden="1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0"/>
      <c r="T147" s="10"/>
      <c r="U147" s="1"/>
    </row>
    <row x14ac:dyDescent="0.25" r="148" customHeight="1" ht="19.5" hidden="1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0"/>
      <c r="T148" s="10"/>
      <c r="U148" s="1"/>
    </row>
    <row x14ac:dyDescent="0.25" r="149" customHeight="1" ht="19.5" hidden="1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0"/>
      <c r="T149" s="10"/>
      <c r="U149" s="1"/>
    </row>
    <row x14ac:dyDescent="0.25" r="150" customHeight="1" ht="19.5" hidden="1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0"/>
      <c r="T150" s="10"/>
      <c r="U150" s="1"/>
    </row>
    <row x14ac:dyDescent="0.25" r="151" customHeight="1" ht="19.5" hidden="1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0"/>
      <c r="T151" s="10"/>
      <c r="U151" s="1"/>
    </row>
    <row x14ac:dyDescent="0.25" r="152" customHeight="1" ht="19.5" hidden="1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0"/>
      <c r="T152" s="10"/>
      <c r="U152" s="1"/>
    </row>
    <row x14ac:dyDescent="0.25" r="153" customHeight="1" ht="19.5" hidden="1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0"/>
      <c r="T153" s="10"/>
      <c r="U153" s="1"/>
    </row>
    <row x14ac:dyDescent="0.25" r="154" customHeight="1" ht="19.5" hidden="1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0"/>
      <c r="T154" s="10"/>
      <c r="U154" s="1"/>
    </row>
    <row x14ac:dyDescent="0.25" r="155" customHeight="1" ht="19.5" hidden="1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0"/>
      <c r="T155" s="10"/>
      <c r="U155" s="1"/>
    </row>
    <row x14ac:dyDescent="0.25" r="156" customHeight="1" ht="19.5" hidden="1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0"/>
      <c r="T156" s="10"/>
      <c r="U156" s="1"/>
    </row>
    <row x14ac:dyDescent="0.25" r="157" customHeight="1" ht="19.5" hidden="1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0"/>
      <c r="T157" s="10"/>
      <c r="U157" s="1"/>
    </row>
    <row x14ac:dyDescent="0.25" r="158" customHeight="1" ht="19.5" hidden="1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0"/>
      <c r="T158" s="10"/>
      <c r="U158" s="1"/>
    </row>
    <row x14ac:dyDescent="0.25" r="159" customHeight="1" ht="19.5" hidden="1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0"/>
      <c r="T159" s="10"/>
      <c r="U159" s="1"/>
    </row>
    <row x14ac:dyDescent="0.25" r="160" customHeight="1" ht="19.5" hidden="1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0"/>
      <c r="T160" s="10"/>
      <c r="U160" s="1"/>
    </row>
    <row x14ac:dyDescent="0.25" r="161" customHeight="1" ht="19.5" hidden="1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0"/>
      <c r="T161" s="10"/>
      <c r="U161" s="1"/>
    </row>
    <row x14ac:dyDescent="0.25" r="162" customHeight="1" ht="19.5" hidden="1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0"/>
      <c r="T162" s="10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0"/>
      <c r="T163" s="10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0"/>
      <c r="T164" s="10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0"/>
      <c r="T165" s="10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0"/>
      <c r="T166" s="10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0"/>
      <c r="T167" s="10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0"/>
      <c r="T168" s="10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0"/>
      <c r="T169" s="10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0"/>
      <c r="T170" s="10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0"/>
      <c r="T171" s="10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0"/>
      <c r="T172" s="10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0"/>
      <c r="T173" s="10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0"/>
      <c r="T174" s="10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0"/>
      <c r="T175" s="10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0"/>
      <c r="T176" s="10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0"/>
      <c r="T177" s="10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0"/>
      <c r="T178" s="10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0"/>
      <c r="T179" s="10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0"/>
      <c r="T180" s="10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0"/>
      <c r="T181" s="10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0"/>
      <c r="T182" s="10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0"/>
      <c r="T183" s="10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0"/>
      <c r="T184" s="10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0"/>
      <c r="T185" s="10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0"/>
      <c r="T186" s="10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0"/>
      <c r="T187" s="10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0"/>
      <c r="T188" s="10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0"/>
      <c r="T189" s="10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0"/>
      <c r="T190" s="10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0"/>
      <c r="T191" s="10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0"/>
      <c r="T192" s="10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0"/>
      <c r="T193" s="10"/>
      <c r="U193" s="1"/>
    </row>
  </sheetData>
  <mergeCells count="65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P13:T13"/>
    <mergeCell ref="C14:D14"/>
    <mergeCell ref="M14:N14"/>
    <mergeCell ref="P15:P16"/>
    <mergeCell ref="Q15:R16"/>
    <mergeCell ref="P18:Q18"/>
    <mergeCell ref="R18:T18"/>
    <mergeCell ref="P21:Q21"/>
    <mergeCell ref="R21:T21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 hidden="1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 hidden="1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 hidden="1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 hidden="1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 hidden="1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 hidden="1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 hidden="1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 hidden="1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 hidden="1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 hidden="1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9" width="8.576428571428572" customWidth="1" bestFit="1"/>
    <col min="10" max="10" style="9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21"/>
      <c r="J3" s="2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223"/>
      <c r="J13" s="223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8" t="s">
        <v>12</v>
      </c>
      <c r="J14" s="28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338">
        <v>24</v>
      </c>
      <c r="D18" s="343" t="s">
        <v>234</v>
      </c>
      <c r="E18" s="339" t="s">
        <v>355</v>
      </c>
      <c r="F18" s="343" t="s">
        <v>356</v>
      </c>
      <c r="G18" s="341" t="s">
        <v>357</v>
      </c>
      <c r="H18" s="340" t="s">
        <v>238</v>
      </c>
      <c r="I18" s="74">
        <v>3</v>
      </c>
      <c r="J18" s="74">
        <v>5</v>
      </c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21"/>
      <c r="J23" s="2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8" t="s">
        <v>12</v>
      </c>
      <c r="J24" s="28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356"/>
      <c r="J33" s="357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8" t="s">
        <v>12</v>
      </c>
      <c r="J34" s="28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223"/>
      <c r="J43" s="223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6" t="s">
        <v>12</v>
      </c>
      <c r="J44" s="86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358"/>
      <c r="J53" s="35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6" t="s">
        <v>12</v>
      </c>
      <c r="J54" s="86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360"/>
      <c r="J63" s="36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18" t="s">
        <v>12</v>
      </c>
      <c r="J64" s="118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362"/>
      <c r="J73" s="363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5" t="s">
        <v>12</v>
      </c>
      <c r="J74" s="115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362"/>
      <c r="J83" s="363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18" t="s">
        <v>12</v>
      </c>
      <c r="J84" s="118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248" t="s">
        <v>35</v>
      </c>
      <c r="D93" s="120"/>
      <c r="E93" s="120"/>
      <c r="F93" s="120"/>
      <c r="G93" s="120"/>
      <c r="H93" s="120"/>
      <c r="I93" s="364"/>
      <c r="J93" s="365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5" t="s">
        <v>12</v>
      </c>
      <c r="J94" s="115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222"/>
      <c r="D99" s="68"/>
      <c r="E99" s="68"/>
      <c r="F99" s="68"/>
      <c r="G99" s="125" t="s">
        <v>36</v>
      </c>
      <c r="H99" s="70"/>
      <c r="I99" s="366"/>
      <c r="J99" s="366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222"/>
      <c r="D100" s="68"/>
      <c r="E100" s="68"/>
      <c r="F100" s="68"/>
      <c r="G100" s="70"/>
      <c r="H100" s="70"/>
      <c r="I100" s="366"/>
      <c r="J100" s="366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222"/>
      <c r="D101" s="68"/>
      <c r="E101" s="68"/>
      <c r="F101" s="68"/>
      <c r="G101" s="70"/>
      <c r="H101" s="70"/>
      <c r="I101" s="366"/>
      <c r="J101" s="366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222"/>
      <c r="D102" s="68"/>
      <c r="E102" s="68"/>
      <c r="F102" s="68"/>
      <c r="G102" s="70"/>
      <c r="H102" s="70"/>
      <c r="I102" s="366"/>
      <c r="J102" s="366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249"/>
      <c r="J103" s="249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8" t="s">
        <v>12</v>
      </c>
      <c r="J104" s="28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250"/>
      <c r="J113" s="25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8" t="s">
        <v>12</v>
      </c>
      <c r="J114" s="28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251"/>
      <c r="J123" s="251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8" t="s">
        <v>12</v>
      </c>
      <c r="J124" s="28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251"/>
      <c r="J133" s="251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8" t="s">
        <v>12</v>
      </c>
      <c r="J134" s="28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252"/>
      <c r="J143" s="252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8" t="s">
        <v>12</v>
      </c>
      <c r="J144" s="28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253"/>
      <c r="J153" s="253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8" t="s">
        <v>12</v>
      </c>
      <c r="J154" s="28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223" t="s">
        <v>47</v>
      </c>
      <c r="D163" s="48"/>
      <c r="E163" s="48"/>
      <c r="F163" s="48"/>
      <c r="G163" s="48"/>
      <c r="H163" s="48"/>
      <c r="I163" s="223"/>
      <c r="J163" s="223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8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8" t="s">
        <v>12</v>
      </c>
      <c r="J164" s="28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224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224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224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224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224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224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224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224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223" t="s">
        <v>47</v>
      </c>
      <c r="D173" s="48"/>
      <c r="E173" s="48"/>
      <c r="F173" s="48"/>
      <c r="G173" s="48"/>
      <c r="H173" s="48"/>
      <c r="I173" s="223"/>
      <c r="J173" s="223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8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8" t="s">
        <v>12</v>
      </c>
      <c r="J174" s="28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224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224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224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224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224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224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224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224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223" t="s">
        <v>47</v>
      </c>
      <c r="D183" s="48"/>
      <c r="E183" s="48"/>
      <c r="F183" s="48"/>
      <c r="G183" s="48"/>
      <c r="H183" s="48"/>
      <c r="I183" s="223"/>
      <c r="J183" s="223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8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8" t="s">
        <v>12</v>
      </c>
      <c r="J184" s="28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224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224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224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224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224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224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224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224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8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3.43357142857143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339"/>
      <c r="D18" s="343"/>
      <c r="E18" s="339"/>
      <c r="F18" s="343"/>
      <c r="G18" s="341"/>
      <c r="H18" s="340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339"/>
      <c r="D15" s="343"/>
      <c r="E15" s="339"/>
      <c r="F15" s="343"/>
      <c r="G15" s="341"/>
      <c r="H15" s="340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 hidden="1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 hidden="1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 hidden="1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 hidden="1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 hidden="1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 hidden="1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 hidden="1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 hidden="1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 hidden="1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 hidden="1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144" width="14.43357142857143" customWidth="1" bestFit="1"/>
    <col min="20" max="20" style="144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14"/>
      <c r="T1" s="14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18"/>
      <c r="T2" s="18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0"/>
      <c r="T3" s="10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34"/>
      <c r="T4" s="10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34"/>
      <c r="T5" s="10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17"/>
      <c r="T6" s="17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39"/>
      <c r="T7" s="39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40" t="s">
        <v>22</v>
      </c>
      <c r="T8" s="40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18"/>
      <c r="T11" s="18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0"/>
      <c r="T12" s="10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4" t="s">
        <v>24</v>
      </c>
      <c r="Q13" s="14"/>
      <c r="R13" s="14"/>
      <c r="S13" s="14"/>
      <c r="T13" s="14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0"/>
      <c r="T14" s="10"/>
      <c r="U14" s="1"/>
    </row>
    <row x14ac:dyDescent="0.25" r="15" customHeight="1" ht="16.5">
      <c r="A15" s="1"/>
      <c r="B15" s="20">
        <v>1</v>
      </c>
      <c r="C15" s="68"/>
      <c r="D15" s="68"/>
      <c r="E15" s="68"/>
      <c r="F15" s="68"/>
      <c r="G15" s="68"/>
      <c r="H15" s="68"/>
      <c r="I15" s="68"/>
      <c r="J15" s="68"/>
      <c r="K15" s="36">
        <f>(I15+J15)*10000</f>
      </c>
      <c r="L15" s="36">
        <f>K15*L13</f>
      </c>
      <c r="M15" s="34"/>
      <c r="N15" s="10"/>
      <c r="O15" s="13"/>
      <c r="P15" s="51" t="s">
        <v>16</v>
      </c>
      <c r="Q15" s="52">
        <f>P21-R21</f>
      </c>
      <c r="R15" s="53"/>
      <c r="S15" s="10"/>
      <c r="T15" s="10"/>
      <c r="U15" s="1"/>
    </row>
    <row x14ac:dyDescent="0.25" r="16" customHeight="1" ht="16.5">
      <c r="A16" s="1"/>
      <c r="B16" s="20">
        <v>2</v>
      </c>
      <c r="C16" s="68"/>
      <c r="D16" s="68"/>
      <c r="E16" s="68"/>
      <c r="F16" s="68"/>
      <c r="G16" s="68"/>
      <c r="H16" s="68"/>
      <c r="I16" s="68"/>
      <c r="J16" s="68"/>
      <c r="K16" s="36">
        <f>(I16+J16)*10000</f>
      </c>
      <c r="L16" s="36">
        <f>K16*L13</f>
      </c>
      <c r="M16" s="34"/>
      <c r="N16" s="10"/>
      <c r="O16" s="13"/>
      <c r="P16" s="54"/>
      <c r="Q16" s="55"/>
      <c r="R16" s="56"/>
      <c r="S16" s="10"/>
      <c r="T16" s="10"/>
      <c r="U16" s="1"/>
    </row>
    <row x14ac:dyDescent="0.25" r="17" customHeight="1" ht="19.5">
      <c r="A17" s="1"/>
      <c r="B17" s="20">
        <v>3</v>
      </c>
      <c r="C17" s="68"/>
      <c r="D17" s="68"/>
      <c r="E17" s="68"/>
      <c r="F17" s="68"/>
      <c r="G17" s="68"/>
      <c r="H17" s="68"/>
      <c r="I17" s="68"/>
      <c r="J17" s="68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0"/>
      <c r="T17" s="10"/>
      <c r="U17" s="1"/>
    </row>
    <row x14ac:dyDescent="0.25" r="18" customHeight="1" ht="19.5">
      <c r="A18" s="1"/>
      <c r="B18" s="20">
        <v>4</v>
      </c>
      <c r="C18" s="68"/>
      <c r="D18" s="68"/>
      <c r="E18" s="68"/>
      <c r="F18" s="68"/>
      <c r="G18" s="68"/>
      <c r="H18" s="68"/>
      <c r="I18" s="68"/>
      <c r="J18" s="68"/>
      <c r="K18" s="36">
        <f>(I18+J18)*10000</f>
      </c>
      <c r="L18" s="36">
        <f>K18*L13</f>
      </c>
      <c r="M18" s="34"/>
      <c r="N18" s="10"/>
      <c r="O18" s="13"/>
      <c r="P18" s="57" t="s">
        <v>17</v>
      </c>
      <c r="Q18" s="58"/>
      <c r="R18" s="59" t="s">
        <v>18</v>
      </c>
      <c r="S18" s="59"/>
      <c r="T18" s="58"/>
      <c r="U18" s="19"/>
    </row>
    <row x14ac:dyDescent="0.25" r="19" customHeight="1" ht="19.5">
      <c r="A19" s="1"/>
      <c r="B19" s="20">
        <v>5</v>
      </c>
      <c r="C19" s="68"/>
      <c r="D19" s="68"/>
      <c r="E19" s="68"/>
      <c r="F19" s="68"/>
      <c r="G19" s="68"/>
      <c r="H19" s="68"/>
      <c r="I19" s="68"/>
      <c r="J19" s="68"/>
      <c r="K19" s="36">
        <f>(I19+J19)*10000</f>
      </c>
      <c r="L19" s="36">
        <f>K19*L13</f>
      </c>
      <c r="M19" s="34"/>
      <c r="N19" s="10"/>
      <c r="O19" s="13"/>
      <c r="P19" s="60" t="s">
        <v>19</v>
      </c>
      <c r="Q19" s="61" t="s">
        <v>20</v>
      </c>
      <c r="R19" s="61" t="s">
        <v>21</v>
      </c>
      <c r="S19" s="61" t="s">
        <v>22</v>
      </c>
      <c r="T19" s="61" t="s">
        <v>20</v>
      </c>
      <c r="U19" s="19"/>
    </row>
    <row x14ac:dyDescent="0.25" r="20" customHeight="1" ht="19.5">
      <c r="A20" s="1"/>
      <c r="B20" s="20">
        <v>6</v>
      </c>
      <c r="C20" s="68"/>
      <c r="D20" s="68"/>
      <c r="E20" s="68"/>
      <c r="F20" s="68"/>
      <c r="G20" s="68"/>
      <c r="H20" s="68"/>
      <c r="I20" s="68"/>
      <c r="J20" s="68"/>
      <c r="K20" s="36">
        <f>(I20+J20)*10000</f>
      </c>
      <c r="L20" s="36">
        <f>K20*L13</f>
      </c>
      <c r="M20" s="34"/>
      <c r="N20" s="10"/>
      <c r="O20" s="13"/>
      <c r="P20" s="62">
        <f>SUM(P9,'8'!P9,'7'!P9,'6'!P9,'5'!P9,'4'!P9,'3'!P9)</f>
      </c>
      <c r="Q20" s="62">
        <f>SUM(Q9,'8'!Q9,'7'!Q9,'6'!Q9,'5'!Q9,'4'!Q9,'3'!Q9)</f>
      </c>
      <c r="R20" s="62">
        <f>SUM(R9,'8'!R9,'7'!R9,'6'!R9,'5'!R9,'4'!R9,'3'!R9)</f>
      </c>
      <c r="S20" s="62">
        <f>SUM(S9,'8'!S9,'7'!S9,'6'!S9,'5'!S9,'4'!S9,'3'!S9)</f>
      </c>
      <c r="T20" s="62">
        <f>SUM(T9,'8'!T9,'7'!T9,'6'!T9,'5'!T9,'4'!T9,'3'!T9)</f>
      </c>
      <c r="U20" s="19"/>
    </row>
    <row x14ac:dyDescent="0.25" r="21" customHeight="1" ht="19.5">
      <c r="A21" s="1"/>
      <c r="B21" s="20">
        <v>7</v>
      </c>
      <c r="C21" s="68"/>
      <c r="D21" s="68"/>
      <c r="E21" s="68"/>
      <c r="F21" s="68"/>
      <c r="G21" s="68"/>
      <c r="H21" s="68"/>
      <c r="I21" s="68"/>
      <c r="J21" s="68"/>
      <c r="K21" s="36">
        <f>(I21+J21)*10000</f>
      </c>
      <c r="L21" s="36">
        <f>K21*L13</f>
      </c>
      <c r="M21" s="34"/>
      <c r="N21" s="10"/>
      <c r="O21" s="13"/>
      <c r="P21" s="63">
        <f>SUM(P20:Q20)</f>
      </c>
      <c r="Q21" s="64"/>
      <c r="R21" s="65">
        <f>SUM(R20:T20)</f>
      </c>
      <c r="S21" s="66"/>
      <c r="T21" s="67"/>
      <c r="U21" s="19"/>
    </row>
    <row x14ac:dyDescent="0.25" r="22" customHeight="1" ht="19.5">
      <c r="A22" s="1"/>
      <c r="B22" s="20">
        <v>8</v>
      </c>
      <c r="C22" s="68"/>
      <c r="D22" s="68"/>
      <c r="E22" s="68"/>
      <c r="F22" s="68"/>
      <c r="G22" s="68"/>
      <c r="H22" s="68"/>
      <c r="I22" s="68"/>
      <c r="J22" s="68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18"/>
      <c r="T22" s="18"/>
      <c r="U22" s="1"/>
    </row>
    <row x14ac:dyDescent="0.25" r="23" customHeight="1" ht="19.5" hidden="1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0"/>
      <c r="T23" s="10"/>
      <c r="U23" s="1"/>
    </row>
    <row x14ac:dyDescent="0.25" r="24" customHeight="1" ht="19.5" hidden="1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0"/>
      <c r="T24" s="10"/>
      <c r="U24" s="1"/>
    </row>
    <row x14ac:dyDescent="0.25" r="25" customHeight="1" ht="19.5" hidden="1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0"/>
      <c r="T25" s="10"/>
      <c r="U25" s="1"/>
    </row>
    <row x14ac:dyDescent="0.25" r="26" customHeight="1" ht="19.5" hidden="1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0"/>
      <c r="T26" s="10"/>
      <c r="U26" s="1"/>
    </row>
    <row x14ac:dyDescent="0.25" r="27" customHeight="1" ht="19.5" hidden="1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0"/>
      <c r="T27" s="10"/>
      <c r="U27" s="1"/>
    </row>
    <row x14ac:dyDescent="0.25" r="28" customHeight="1" ht="19.5" hidden="1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0"/>
      <c r="T28" s="10"/>
      <c r="U28" s="1"/>
    </row>
    <row x14ac:dyDescent="0.25" r="29" customHeight="1" ht="19.5" hidden="1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0"/>
      <c r="T29" s="10"/>
      <c r="U29" s="1"/>
    </row>
    <row x14ac:dyDescent="0.25" r="30" customHeight="1" ht="19.5" hidden="1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0"/>
      <c r="T30" s="10"/>
      <c r="U30" s="1"/>
    </row>
    <row x14ac:dyDescent="0.25" r="31" customHeight="1" ht="19.5" hidden="1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0"/>
      <c r="T31" s="10"/>
      <c r="U31" s="1"/>
    </row>
    <row x14ac:dyDescent="0.25" r="32" customHeight="1" ht="19.5" hidden="1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0"/>
      <c r="T32" s="10"/>
      <c r="U32" s="1"/>
    </row>
    <row x14ac:dyDescent="0.25" r="33" customHeight="1" ht="19.5" hidden="1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0"/>
      <c r="T33" s="10"/>
      <c r="U33" s="1"/>
    </row>
    <row x14ac:dyDescent="0.25" r="34" customHeight="1" ht="19.5" hidden="1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0"/>
      <c r="T34" s="10"/>
      <c r="U34" s="1"/>
    </row>
    <row x14ac:dyDescent="0.25" r="35" customHeight="1" ht="19.5" hidden="1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0"/>
      <c r="T35" s="10"/>
      <c r="U35" s="1"/>
    </row>
    <row x14ac:dyDescent="0.25" r="36" customHeight="1" ht="19.5" hidden="1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0"/>
      <c r="T36" s="10"/>
      <c r="U36" s="1"/>
    </row>
    <row x14ac:dyDescent="0.25" r="37" customHeight="1" ht="19.5" hidden="1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0"/>
      <c r="T37" s="10"/>
      <c r="U37" s="1"/>
    </row>
    <row x14ac:dyDescent="0.25" r="38" customHeight="1" ht="19.5" hidden="1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0"/>
      <c r="T38" s="10"/>
      <c r="U38" s="1"/>
    </row>
    <row x14ac:dyDescent="0.25" r="39" customHeight="1" ht="19.5" hidden="1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0"/>
      <c r="T39" s="10"/>
      <c r="U39" s="1"/>
    </row>
    <row x14ac:dyDescent="0.25" r="40" customHeight="1" ht="19.5" hidden="1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0"/>
      <c r="T40" s="10"/>
      <c r="U40" s="1"/>
    </row>
    <row x14ac:dyDescent="0.25" r="41" customHeight="1" ht="19.5" hidden="1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0"/>
      <c r="T41" s="10"/>
      <c r="U41" s="1"/>
    </row>
    <row x14ac:dyDescent="0.25" r="42" customHeight="1" ht="19.5" hidden="1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0"/>
      <c r="T42" s="10"/>
      <c r="U42" s="1"/>
    </row>
    <row x14ac:dyDescent="0.25" r="43" customHeight="1" ht="19.5" hidden="1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0"/>
      <c r="T43" s="10"/>
      <c r="U43" s="1"/>
    </row>
    <row x14ac:dyDescent="0.25" r="44" customHeight="1" ht="19.5" hidden="1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0"/>
      <c r="T44" s="10"/>
      <c r="U44" s="1"/>
    </row>
    <row x14ac:dyDescent="0.25" r="45" customHeight="1" ht="19.5" hidden="1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0"/>
      <c r="T45" s="10"/>
      <c r="U45" s="1"/>
    </row>
    <row x14ac:dyDescent="0.25" r="46" customHeight="1" ht="19.5" hidden="1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0"/>
      <c r="T46" s="10"/>
      <c r="U46" s="1"/>
    </row>
    <row x14ac:dyDescent="0.25" r="47" customHeight="1" ht="19.5" hidden="1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0"/>
      <c r="T47" s="10"/>
      <c r="U47" s="1"/>
    </row>
    <row x14ac:dyDescent="0.25" r="48" customHeight="1" ht="19.5" hidden="1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0"/>
      <c r="T48" s="10"/>
      <c r="U48" s="1"/>
    </row>
    <row x14ac:dyDescent="0.25" r="49" customHeight="1" ht="19.5" hidden="1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0"/>
      <c r="T49" s="10"/>
      <c r="U49" s="1"/>
    </row>
    <row x14ac:dyDescent="0.25" r="50" customHeight="1" ht="19.5" hidden="1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0"/>
      <c r="T50" s="10"/>
      <c r="U50" s="1"/>
    </row>
    <row x14ac:dyDescent="0.25" r="51" customHeight="1" ht="19.5" hidden="1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0"/>
      <c r="T51" s="10"/>
      <c r="U51" s="1"/>
    </row>
    <row x14ac:dyDescent="0.25" r="52" customHeight="1" ht="19.5" hidden="1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0"/>
      <c r="T52" s="10"/>
      <c r="U52" s="1"/>
    </row>
    <row x14ac:dyDescent="0.25" r="53" customHeight="1" ht="19.5" hidden="1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0"/>
      <c r="T53" s="10"/>
      <c r="U53" s="1"/>
    </row>
    <row x14ac:dyDescent="0.25" r="54" customHeight="1" ht="19.5" hidden="1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0"/>
      <c r="T54" s="10"/>
      <c r="U54" s="1"/>
    </row>
    <row x14ac:dyDescent="0.25" r="55" customHeight="1" ht="19.5" hidden="1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0"/>
      <c r="T55" s="10"/>
      <c r="U55" s="1"/>
    </row>
    <row x14ac:dyDescent="0.25" r="56" customHeight="1" ht="19.5" hidden="1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0"/>
      <c r="T56" s="10"/>
      <c r="U56" s="1"/>
    </row>
    <row x14ac:dyDescent="0.25" r="57" customHeight="1" ht="19.5" hidden="1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0"/>
      <c r="T57" s="10"/>
      <c r="U57" s="1"/>
    </row>
    <row x14ac:dyDescent="0.25" r="58" customHeight="1" ht="19.5" hidden="1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0"/>
      <c r="T58" s="10"/>
      <c r="U58" s="1"/>
    </row>
    <row x14ac:dyDescent="0.25" r="59" customHeight="1" ht="19.5" hidden="1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0"/>
      <c r="T59" s="10"/>
      <c r="U59" s="1"/>
    </row>
    <row x14ac:dyDescent="0.25" r="60" customHeight="1" ht="19.5" hidden="1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0"/>
      <c r="T60" s="10"/>
      <c r="U60" s="1"/>
    </row>
    <row x14ac:dyDescent="0.25" r="61" customHeight="1" ht="19.5" hidden="1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0"/>
      <c r="T61" s="10"/>
      <c r="U61" s="1"/>
    </row>
    <row x14ac:dyDescent="0.25" r="62" customHeight="1" ht="19.5" hidden="1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0"/>
      <c r="T62" s="10"/>
      <c r="U62" s="1"/>
    </row>
    <row x14ac:dyDescent="0.25" r="63" customHeight="1" ht="19.5" hidden="1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0"/>
      <c r="T63" s="10"/>
      <c r="U63" s="1"/>
    </row>
    <row x14ac:dyDescent="0.25" r="64" customHeight="1" ht="19.5" hidden="1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0"/>
      <c r="T64" s="10"/>
      <c r="U64" s="1"/>
    </row>
    <row x14ac:dyDescent="0.25" r="65" customHeight="1" ht="19.5" hidden="1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0"/>
      <c r="T65" s="10"/>
      <c r="U65" s="1"/>
    </row>
    <row x14ac:dyDescent="0.25" r="66" customHeight="1" ht="19.5" hidden="1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0"/>
      <c r="T66" s="10"/>
      <c r="U66" s="1"/>
    </row>
    <row x14ac:dyDescent="0.25" r="67" customHeight="1" ht="19.5" hidden="1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0"/>
      <c r="T67" s="10"/>
      <c r="U67" s="1"/>
    </row>
    <row x14ac:dyDescent="0.25" r="68" customHeight="1" ht="19.5" hidden="1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0"/>
      <c r="T68" s="10"/>
      <c r="U68" s="1"/>
    </row>
    <row x14ac:dyDescent="0.25" r="69" customHeight="1" ht="19.5" hidden="1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0"/>
      <c r="T69" s="10"/>
      <c r="U69" s="1"/>
    </row>
    <row x14ac:dyDescent="0.25" r="70" customHeight="1" ht="19.5" hidden="1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0"/>
      <c r="T70" s="10"/>
      <c r="U70" s="1"/>
    </row>
    <row x14ac:dyDescent="0.25" r="71" customHeight="1" ht="19.5" hidden="1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0"/>
      <c r="T71" s="10"/>
      <c r="U71" s="1"/>
    </row>
    <row x14ac:dyDescent="0.25" r="72" customHeight="1" ht="19.5" hidden="1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0"/>
      <c r="T72" s="10"/>
      <c r="U72" s="1"/>
    </row>
    <row x14ac:dyDescent="0.25" r="73" customHeight="1" ht="19.5" hidden="1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0"/>
      <c r="T73" s="10"/>
      <c r="U73" s="1"/>
    </row>
    <row x14ac:dyDescent="0.25" r="74" customHeight="1" ht="19.5" hidden="1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0"/>
      <c r="T74" s="10"/>
      <c r="U74" s="1"/>
    </row>
    <row x14ac:dyDescent="0.25" r="75" customHeight="1" ht="19.5" hidden="1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0"/>
      <c r="T75" s="10"/>
      <c r="U75" s="1"/>
    </row>
    <row x14ac:dyDescent="0.25" r="76" customHeight="1" ht="19.5" hidden="1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0"/>
      <c r="T76" s="10"/>
      <c r="U76" s="1"/>
    </row>
    <row x14ac:dyDescent="0.25" r="77" customHeight="1" ht="19.5" hidden="1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0"/>
      <c r="T77" s="10"/>
      <c r="U77" s="1"/>
    </row>
    <row x14ac:dyDescent="0.25" r="78" customHeight="1" ht="19.5" hidden="1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0"/>
      <c r="T78" s="10"/>
      <c r="U78" s="1"/>
    </row>
    <row x14ac:dyDescent="0.25" r="79" customHeight="1" ht="19.5" hidden="1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0"/>
      <c r="T79" s="10"/>
      <c r="U79" s="1"/>
    </row>
    <row x14ac:dyDescent="0.25" r="80" customHeight="1" ht="19.5" hidden="1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0"/>
      <c r="T80" s="10"/>
      <c r="U80" s="1"/>
    </row>
    <row x14ac:dyDescent="0.25" r="81" customHeight="1" ht="19.5" hidden="1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0"/>
      <c r="T81" s="10"/>
      <c r="U81" s="1"/>
    </row>
    <row x14ac:dyDescent="0.25" r="82" customHeight="1" ht="19.5" hidden="1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0"/>
      <c r="T82" s="10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0"/>
      <c r="T83" s="10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0"/>
      <c r="T84" s="10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0"/>
      <c r="T85" s="10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0"/>
      <c r="T86" s="10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0"/>
      <c r="T87" s="10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0"/>
      <c r="T88" s="10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0"/>
      <c r="T89" s="10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0"/>
      <c r="T90" s="10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0"/>
      <c r="T91" s="10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0"/>
      <c r="T92" s="10"/>
      <c r="U92" s="1"/>
    </row>
    <row x14ac:dyDescent="0.25" r="93" customHeight="1" ht="19.5" hidden="1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0"/>
      <c r="T93" s="10"/>
      <c r="U93" s="1"/>
    </row>
    <row x14ac:dyDescent="0.25" r="94" customHeight="1" ht="19.5" hidden="1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0"/>
      <c r="T94" s="10"/>
      <c r="U94" s="1"/>
    </row>
    <row x14ac:dyDescent="0.25" r="95" customHeight="1" ht="19.5" hidden="1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0"/>
      <c r="T95" s="10"/>
      <c r="U95" s="1"/>
    </row>
    <row x14ac:dyDescent="0.25" r="96" customHeight="1" ht="19.5" hidden="1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0"/>
      <c r="T96" s="10"/>
      <c r="U96" s="1"/>
    </row>
    <row x14ac:dyDescent="0.25" r="97" customHeight="1" ht="19.5" hidden="1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0"/>
      <c r="T97" s="10"/>
      <c r="U97" s="1"/>
    </row>
    <row x14ac:dyDescent="0.25" r="98" customHeight="1" ht="19.5" hidden="1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0"/>
      <c r="T98" s="10"/>
      <c r="U98" s="1"/>
    </row>
    <row x14ac:dyDescent="0.25" r="99" customHeight="1" ht="19.5" hidden="1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0"/>
      <c r="T99" s="10"/>
      <c r="U99" s="1"/>
    </row>
    <row x14ac:dyDescent="0.25" r="100" customHeight="1" ht="19.5" hidden="1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0"/>
      <c r="T100" s="10"/>
      <c r="U100" s="1"/>
    </row>
    <row x14ac:dyDescent="0.25" r="101" customHeight="1" ht="19.5" hidden="1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0"/>
      <c r="T101" s="10"/>
      <c r="U101" s="1"/>
    </row>
    <row x14ac:dyDescent="0.25" r="102" customHeight="1" ht="19.5" hidden="1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0"/>
      <c r="T102" s="10"/>
      <c r="U102" s="1"/>
    </row>
    <row x14ac:dyDescent="0.25" r="103" customHeight="1" ht="19.5" hidden="1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0"/>
      <c r="T103" s="10"/>
      <c r="U103" s="1"/>
    </row>
    <row x14ac:dyDescent="0.25" r="104" customHeight="1" ht="19.5" hidden="1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0"/>
      <c r="T104" s="10"/>
      <c r="U104" s="1"/>
    </row>
    <row x14ac:dyDescent="0.25" r="105" customHeight="1" ht="19.5" hidden="1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0"/>
      <c r="T105" s="10"/>
      <c r="U105" s="1"/>
    </row>
    <row x14ac:dyDescent="0.25" r="106" customHeight="1" ht="19.5" hidden="1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0"/>
      <c r="T106" s="10"/>
      <c r="U106" s="1"/>
    </row>
    <row x14ac:dyDescent="0.25" r="107" customHeight="1" ht="19.5" hidden="1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0"/>
      <c r="T107" s="10"/>
      <c r="U107" s="1"/>
    </row>
    <row x14ac:dyDescent="0.25" r="108" customHeight="1" ht="19.5" hidden="1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0"/>
      <c r="T108" s="10"/>
      <c r="U108" s="1"/>
    </row>
    <row x14ac:dyDescent="0.25" r="109" customHeight="1" ht="19.5" hidden="1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0"/>
      <c r="T109" s="10"/>
      <c r="U109" s="1"/>
    </row>
    <row x14ac:dyDescent="0.25" r="110" customHeight="1" ht="19.5" hidden="1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0"/>
      <c r="T110" s="10"/>
      <c r="U110" s="1"/>
    </row>
    <row x14ac:dyDescent="0.25" r="111" customHeight="1" ht="19.5" hidden="1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0"/>
      <c r="T111" s="10"/>
      <c r="U111" s="1"/>
    </row>
    <row x14ac:dyDescent="0.25" r="112" customHeight="1" ht="19.5" hidden="1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0"/>
      <c r="T112" s="10"/>
      <c r="U112" s="1"/>
    </row>
    <row x14ac:dyDescent="0.25" r="113" customHeight="1" ht="19.5" hidden="1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0"/>
      <c r="T113" s="10"/>
      <c r="U113" s="1"/>
    </row>
    <row x14ac:dyDescent="0.25" r="114" customHeight="1" ht="19.5" hidden="1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0"/>
      <c r="T114" s="10"/>
      <c r="U114" s="1"/>
    </row>
    <row x14ac:dyDescent="0.25" r="115" customHeight="1" ht="19.5" hidden="1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0"/>
      <c r="T115" s="10"/>
      <c r="U115" s="1"/>
    </row>
    <row x14ac:dyDescent="0.25" r="116" customHeight="1" ht="19.5" hidden="1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0"/>
      <c r="T116" s="10"/>
      <c r="U116" s="1"/>
    </row>
    <row x14ac:dyDescent="0.25" r="117" customHeight="1" ht="19.5" hidden="1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0"/>
      <c r="T117" s="10"/>
      <c r="U117" s="1"/>
    </row>
    <row x14ac:dyDescent="0.25" r="118" customHeight="1" ht="19.5" hidden="1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0"/>
      <c r="T118" s="10"/>
      <c r="U118" s="1"/>
    </row>
    <row x14ac:dyDescent="0.25" r="119" customHeight="1" ht="19.5" hidden="1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0"/>
      <c r="T119" s="10"/>
      <c r="U119" s="1"/>
    </row>
    <row x14ac:dyDescent="0.25" r="120" customHeight="1" ht="19.5" hidden="1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0"/>
      <c r="T120" s="10"/>
      <c r="U120" s="1"/>
    </row>
    <row x14ac:dyDescent="0.25" r="121" customHeight="1" ht="19.5" hidden="1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0"/>
      <c r="T121" s="10"/>
      <c r="U121" s="1"/>
    </row>
    <row x14ac:dyDescent="0.25" r="122" customHeight="1" ht="19.5" hidden="1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0"/>
      <c r="T122" s="10"/>
      <c r="U122" s="1"/>
    </row>
    <row x14ac:dyDescent="0.25" r="123" customHeight="1" ht="19.5" hidden="1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0"/>
      <c r="T123" s="10"/>
      <c r="U123" s="1"/>
    </row>
    <row x14ac:dyDescent="0.25" r="124" customHeight="1" ht="19.5" hidden="1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0"/>
      <c r="T124" s="10"/>
      <c r="U124" s="1"/>
    </row>
    <row x14ac:dyDescent="0.25" r="125" customHeight="1" ht="19.5" hidden="1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0"/>
      <c r="T125" s="10"/>
      <c r="U125" s="1"/>
    </row>
    <row x14ac:dyDescent="0.25" r="126" customHeight="1" ht="19.5" hidden="1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0"/>
      <c r="T126" s="10"/>
      <c r="U126" s="1"/>
    </row>
    <row x14ac:dyDescent="0.25" r="127" customHeight="1" ht="19.5" hidden="1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0"/>
      <c r="T127" s="10"/>
      <c r="U127" s="1"/>
    </row>
    <row x14ac:dyDescent="0.25" r="128" customHeight="1" ht="19.5" hidden="1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0"/>
      <c r="T128" s="10"/>
      <c r="U128" s="1"/>
    </row>
    <row x14ac:dyDescent="0.25" r="129" customHeight="1" ht="19.5" hidden="1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0"/>
      <c r="T129" s="10"/>
      <c r="U129" s="1"/>
    </row>
    <row x14ac:dyDescent="0.25" r="130" customHeight="1" ht="19.5" hidden="1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0"/>
      <c r="T130" s="10"/>
      <c r="U130" s="1"/>
    </row>
    <row x14ac:dyDescent="0.25" r="131" customHeight="1" ht="19.5" hidden="1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0"/>
      <c r="T131" s="10"/>
      <c r="U131" s="1"/>
    </row>
    <row x14ac:dyDescent="0.25" r="132" customHeight="1" ht="19.5" hidden="1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0"/>
      <c r="T132" s="10"/>
      <c r="U132" s="1"/>
    </row>
    <row x14ac:dyDescent="0.25" r="133" customHeight="1" ht="19.5" hidden="1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0"/>
      <c r="T133" s="10"/>
      <c r="U133" s="1"/>
    </row>
    <row x14ac:dyDescent="0.25" r="134" customHeight="1" ht="19.5" hidden="1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0"/>
      <c r="T134" s="10"/>
      <c r="U134" s="1"/>
    </row>
    <row x14ac:dyDescent="0.25" r="135" customHeight="1" ht="19.5" hidden="1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0"/>
      <c r="T135" s="10"/>
      <c r="U135" s="1"/>
    </row>
    <row x14ac:dyDescent="0.25" r="136" customHeight="1" ht="19.5" hidden="1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0"/>
      <c r="T136" s="10"/>
      <c r="U136" s="1"/>
    </row>
    <row x14ac:dyDescent="0.25" r="137" customHeight="1" ht="19.5" hidden="1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0"/>
      <c r="T137" s="10"/>
      <c r="U137" s="1"/>
    </row>
    <row x14ac:dyDescent="0.25" r="138" customHeight="1" ht="19.5" hidden="1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0"/>
      <c r="T138" s="10"/>
      <c r="U138" s="1"/>
    </row>
    <row x14ac:dyDescent="0.25" r="139" customHeight="1" ht="19.5" hidden="1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0"/>
      <c r="T139" s="10"/>
      <c r="U139" s="1"/>
    </row>
    <row x14ac:dyDescent="0.25" r="140" customHeight="1" ht="19.5" hidden="1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0"/>
      <c r="T140" s="10"/>
      <c r="U140" s="1"/>
    </row>
    <row x14ac:dyDescent="0.25" r="141" customHeight="1" ht="19.5" hidden="1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0"/>
      <c r="T141" s="10"/>
      <c r="U141" s="1"/>
    </row>
    <row x14ac:dyDescent="0.25" r="142" customHeight="1" ht="19.5" hidden="1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0"/>
      <c r="T142" s="10"/>
      <c r="U142" s="1"/>
    </row>
    <row x14ac:dyDescent="0.25" r="143" customHeight="1" ht="19.5" hidden="1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0"/>
      <c r="T143" s="10"/>
      <c r="U143" s="1"/>
    </row>
    <row x14ac:dyDescent="0.25" r="144" customHeight="1" ht="19.5" hidden="1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0"/>
      <c r="T144" s="10"/>
      <c r="U144" s="1"/>
    </row>
    <row x14ac:dyDescent="0.25" r="145" customHeight="1" ht="19.5" hidden="1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0"/>
      <c r="T145" s="10"/>
      <c r="U145" s="1"/>
    </row>
    <row x14ac:dyDescent="0.25" r="146" customHeight="1" ht="19.5" hidden="1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0"/>
      <c r="T146" s="10"/>
      <c r="U146" s="1"/>
    </row>
    <row x14ac:dyDescent="0.25" r="147" customHeight="1" ht="19.5" hidden="1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0"/>
      <c r="T147" s="10"/>
      <c r="U147" s="1"/>
    </row>
    <row x14ac:dyDescent="0.25" r="148" customHeight="1" ht="19.5" hidden="1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0"/>
      <c r="T148" s="10"/>
      <c r="U148" s="1"/>
    </row>
    <row x14ac:dyDescent="0.25" r="149" customHeight="1" ht="19.5" hidden="1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0"/>
      <c r="T149" s="10"/>
      <c r="U149" s="1"/>
    </row>
    <row x14ac:dyDescent="0.25" r="150" customHeight="1" ht="19.5" hidden="1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0"/>
      <c r="T150" s="10"/>
      <c r="U150" s="1"/>
    </row>
    <row x14ac:dyDescent="0.25" r="151" customHeight="1" ht="19.5" hidden="1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0"/>
      <c r="T151" s="10"/>
      <c r="U151" s="1"/>
    </row>
    <row x14ac:dyDescent="0.25" r="152" customHeight="1" ht="19.5" hidden="1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0"/>
      <c r="T152" s="10"/>
      <c r="U152" s="1"/>
    </row>
    <row x14ac:dyDescent="0.25" r="153" customHeight="1" ht="19.5" hidden="1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0"/>
      <c r="T153" s="10"/>
      <c r="U153" s="1"/>
    </row>
    <row x14ac:dyDescent="0.25" r="154" customHeight="1" ht="19.5" hidden="1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0"/>
      <c r="T154" s="10"/>
      <c r="U154" s="1"/>
    </row>
    <row x14ac:dyDescent="0.25" r="155" customHeight="1" ht="19.5" hidden="1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0"/>
      <c r="T155" s="10"/>
      <c r="U155" s="1"/>
    </row>
    <row x14ac:dyDescent="0.25" r="156" customHeight="1" ht="19.5" hidden="1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0"/>
      <c r="T156" s="10"/>
      <c r="U156" s="1"/>
    </row>
    <row x14ac:dyDescent="0.25" r="157" customHeight="1" ht="19.5" hidden="1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0"/>
      <c r="T157" s="10"/>
      <c r="U157" s="1"/>
    </row>
    <row x14ac:dyDescent="0.25" r="158" customHeight="1" ht="19.5" hidden="1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0"/>
      <c r="T158" s="10"/>
      <c r="U158" s="1"/>
    </row>
    <row x14ac:dyDescent="0.25" r="159" customHeight="1" ht="19.5" hidden="1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0"/>
      <c r="T159" s="10"/>
      <c r="U159" s="1"/>
    </row>
    <row x14ac:dyDescent="0.25" r="160" customHeight="1" ht="19.5" hidden="1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0"/>
      <c r="T160" s="10"/>
      <c r="U160" s="1"/>
    </row>
    <row x14ac:dyDescent="0.25" r="161" customHeight="1" ht="19.5" hidden="1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0"/>
      <c r="T161" s="10"/>
      <c r="U161" s="1"/>
    </row>
    <row x14ac:dyDescent="0.25" r="162" customHeight="1" ht="19.5" hidden="1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0"/>
      <c r="T162" s="10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0"/>
      <c r="T163" s="10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0"/>
      <c r="T164" s="10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0"/>
      <c r="T165" s="10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0"/>
      <c r="T166" s="10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0"/>
      <c r="T167" s="10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0"/>
      <c r="T168" s="10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0"/>
      <c r="T169" s="10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0"/>
      <c r="T170" s="10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0"/>
      <c r="T171" s="10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0"/>
      <c r="T172" s="10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0"/>
      <c r="T173" s="10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0"/>
      <c r="T174" s="10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0"/>
      <c r="T175" s="10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0"/>
      <c r="T176" s="10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0"/>
      <c r="T177" s="10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0"/>
      <c r="T178" s="10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0"/>
      <c r="T179" s="10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0"/>
      <c r="T180" s="10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0"/>
      <c r="T181" s="10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0"/>
      <c r="T182" s="10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0"/>
      <c r="T183" s="10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0"/>
      <c r="T184" s="10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0"/>
      <c r="T185" s="10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0"/>
      <c r="T186" s="10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0"/>
      <c r="T187" s="10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0"/>
      <c r="T188" s="10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0"/>
      <c r="T189" s="10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0"/>
      <c r="T190" s="10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0"/>
      <c r="T191" s="10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0"/>
      <c r="T192" s="10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0"/>
      <c r="T193" s="10"/>
      <c r="U193" s="1"/>
    </row>
  </sheetData>
  <mergeCells count="65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P13:T13"/>
    <mergeCell ref="C14:D14"/>
    <mergeCell ref="M14:N14"/>
    <mergeCell ref="P15:P16"/>
    <mergeCell ref="Q15:R16"/>
    <mergeCell ref="P18:Q18"/>
    <mergeCell ref="R18:T18"/>
    <mergeCell ref="P21:Q21"/>
    <mergeCell ref="R21:T21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9.5">
      <c r="A15" s="1"/>
      <c r="B15" s="20">
        <v>1</v>
      </c>
      <c r="C15" s="71"/>
      <c r="D15" s="71"/>
      <c r="E15" s="71"/>
      <c r="F15" s="355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41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9" width="11.43357142857143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144" width="10.005" customWidth="1" bestFit="1"/>
    <col min="12" max="12" style="144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144" width="14.43357142857143" customWidth="1" bestFit="1"/>
    <col min="20" max="20" style="144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14"/>
      <c r="T1" s="14"/>
      <c r="U1" s="209"/>
    </row>
    <row x14ac:dyDescent="0.25" r="2" customHeight="1" ht="7.5">
      <c r="A2" s="1"/>
      <c r="B2" s="10"/>
      <c r="C2" s="17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18"/>
      <c r="T2" s="18"/>
      <c r="U2" s="1"/>
    </row>
    <row x14ac:dyDescent="0.25" r="3" customHeight="1" ht="19.5">
      <c r="A3" s="1"/>
      <c r="B3" s="20"/>
      <c r="C3" s="2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0"/>
      <c r="T3" s="10"/>
      <c r="U3" s="1"/>
    </row>
    <row x14ac:dyDescent="0.25" r="4" customHeight="1" ht="16.5">
      <c r="A4" s="1"/>
      <c r="B4" s="20" t="s">
        <v>6</v>
      </c>
      <c r="C4" s="28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34"/>
      <c r="T4" s="10"/>
      <c r="U4" s="1"/>
    </row>
    <row x14ac:dyDescent="0.25" r="5" customHeight="1" ht="16.5">
      <c r="A5" s="1"/>
      <c r="B5" s="20">
        <v>1</v>
      </c>
      <c r="C5" s="222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34"/>
      <c r="T5" s="10"/>
      <c r="U5" s="1"/>
    </row>
    <row x14ac:dyDescent="0.25" r="6" customHeight="1" ht="19.5">
      <c r="A6" s="1"/>
      <c r="B6" s="20">
        <v>2</v>
      </c>
      <c r="C6" s="222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17"/>
      <c r="T6" s="17"/>
      <c r="U6" s="1"/>
    </row>
    <row x14ac:dyDescent="0.25" r="7" customHeight="1" ht="19.5">
      <c r="A7" s="1"/>
      <c r="B7" s="20">
        <v>3</v>
      </c>
      <c r="C7" s="222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39"/>
      <c r="T7" s="39"/>
      <c r="U7" s="19"/>
    </row>
    <row x14ac:dyDescent="0.25" r="8" customHeight="1" ht="19.5">
      <c r="A8" s="1"/>
      <c r="B8" s="20">
        <v>4</v>
      </c>
      <c r="C8" s="222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40" t="s">
        <v>22</v>
      </c>
      <c r="T8" s="40" t="s">
        <v>20</v>
      </c>
      <c r="U8" s="19"/>
    </row>
    <row x14ac:dyDescent="0.25" r="9" customHeight="1" ht="19.5">
      <c r="A9" s="1"/>
      <c r="B9" s="20">
        <v>5</v>
      </c>
      <c r="C9" s="222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222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222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18"/>
      <c r="T11" s="18"/>
      <c r="U11" s="1"/>
    </row>
    <row x14ac:dyDescent="0.25" r="12" customHeight="1" ht="19.5">
      <c r="A12" s="1"/>
      <c r="B12" s="20">
        <v>8</v>
      </c>
      <c r="C12" s="222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0"/>
      <c r="T12" s="10"/>
      <c r="U12" s="1"/>
    </row>
    <row x14ac:dyDescent="0.25" r="13" customHeight="1" ht="19.5">
      <c r="A13" s="1"/>
      <c r="B13" s="20"/>
      <c r="C13" s="223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4" t="s">
        <v>188</v>
      </c>
      <c r="Q13" s="14"/>
      <c r="R13" s="14"/>
      <c r="S13" s="14"/>
      <c r="T13" s="14"/>
      <c r="U13" s="1"/>
    </row>
    <row x14ac:dyDescent="0.25" r="14" customHeight="1" ht="16.5">
      <c r="A14" s="1"/>
      <c r="B14" s="20" t="s">
        <v>6</v>
      </c>
      <c r="C14" s="28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96"/>
      <c r="Q14" s="96"/>
      <c r="R14" s="96"/>
      <c r="S14" s="96"/>
      <c r="T14" s="96"/>
      <c r="U14" s="1"/>
    </row>
    <row x14ac:dyDescent="0.25" r="15" customHeight="1" ht="16.5">
      <c r="A15" s="1"/>
      <c r="B15" s="20">
        <v>1</v>
      </c>
      <c r="C15" s="224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225" t="s">
        <v>16</v>
      </c>
      <c r="Q15" s="226">
        <f>P21-R21</f>
      </c>
      <c r="R15" s="227"/>
      <c r="S15" s="96"/>
      <c r="T15" s="96"/>
      <c r="U15" s="1"/>
    </row>
    <row x14ac:dyDescent="0.25" r="16" customHeight="1" ht="16.5">
      <c r="A16" s="1"/>
      <c r="B16" s="20">
        <v>2</v>
      </c>
      <c r="C16" s="224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228"/>
      <c r="Q16" s="229"/>
      <c r="R16" s="230"/>
      <c r="S16" s="96"/>
      <c r="T16" s="96"/>
      <c r="U16" s="1"/>
    </row>
    <row x14ac:dyDescent="0.25" r="17" customHeight="1" ht="19.5">
      <c r="A17" s="1"/>
      <c r="B17" s="20">
        <v>3</v>
      </c>
      <c r="C17" s="224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96"/>
      <c r="Q17" s="96"/>
      <c r="R17" s="96"/>
      <c r="S17" s="96"/>
      <c r="T17" s="96"/>
      <c r="U17" s="1"/>
    </row>
    <row x14ac:dyDescent="0.25" r="18" customHeight="1" ht="19.5">
      <c r="A18" s="1"/>
      <c r="B18" s="20">
        <v>4</v>
      </c>
      <c r="C18" s="224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231" t="s">
        <v>17</v>
      </c>
      <c r="Q18" s="232"/>
      <c r="R18" s="233" t="s">
        <v>18</v>
      </c>
      <c r="S18" s="233"/>
      <c r="T18" s="232"/>
      <c r="U18" s="19"/>
    </row>
    <row x14ac:dyDescent="0.25" r="19" customHeight="1" ht="19.5">
      <c r="A19" s="1"/>
      <c r="B19" s="20">
        <v>5</v>
      </c>
      <c r="C19" s="224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234" t="s">
        <v>19</v>
      </c>
      <c r="Q19" s="235" t="s">
        <v>20</v>
      </c>
      <c r="R19" s="235" t="s">
        <v>21</v>
      </c>
      <c r="S19" s="235" t="s">
        <v>22</v>
      </c>
      <c r="T19" s="235" t="s">
        <v>20</v>
      </c>
      <c r="U19" s="19"/>
    </row>
    <row x14ac:dyDescent="0.25" r="20" customHeight="1" ht="19.5">
      <c r="A20" s="1"/>
      <c r="B20" s="20">
        <v>6</v>
      </c>
      <c r="C20" s="224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236">
        <f>SUM(P9,'29'!P20,'28'!P20,'26'!P20,'20'!P20,'13'!P9,'6'!P9,'5'!P9,'4'!P9,'3'!P9,'2'!P9,'1'!P9)</f>
      </c>
      <c r="Q20" s="236">
        <f>SUM(Q9,'29'!Q20,'28'!Q20,'26'!Q20,'20'!Q20,'13'!Q9,'6'!Q9,'5'!Q9,'4'!Q9,'3'!Q9,'2'!Q9,'1'!Q9)</f>
      </c>
      <c r="R20" s="236">
        <f>SUM(R9,'29'!R20,'28'!R20,'26'!R20,'20'!R20,'13'!R9,'6'!R9,'5'!R9,'4'!R9,'3'!R9,'2'!R9,'1'!R9)</f>
      </c>
      <c r="S20" s="236">
        <f>SUM(S9,'29'!S20,'28'!S20,'26'!S20,'20'!S20,'13'!S9,'6'!S9,'5'!S9,'4'!S9,'3'!S9,'2'!S9,'1'!S9)</f>
      </c>
      <c r="T20" s="236">
        <f>SUM(T9,'29'!T20,'28'!T20,'26'!T20,'20'!T20,'13'!T9,'6'!T9,'5'!T9,'4'!T9,'3'!T9,'2'!T9,'1'!T9)</f>
      </c>
      <c r="U20" s="19"/>
    </row>
    <row x14ac:dyDescent="0.25" r="21" customHeight="1" ht="19.5">
      <c r="A21" s="1"/>
      <c r="B21" s="20">
        <v>7</v>
      </c>
      <c r="C21" s="224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237">
        <f>SUM(P20:Q20)</f>
      </c>
      <c r="Q21" s="238"/>
      <c r="R21" s="239">
        <f>SUM(R20:T20)</f>
      </c>
      <c r="S21" s="239"/>
      <c r="T21" s="240"/>
      <c r="U21" s="19"/>
    </row>
    <row x14ac:dyDescent="0.25" r="22" customHeight="1" ht="19.5">
      <c r="A22" s="1"/>
      <c r="B22" s="20">
        <v>8</v>
      </c>
      <c r="C22" s="224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18"/>
      <c r="T22" s="18"/>
      <c r="U22" s="1"/>
    </row>
    <row x14ac:dyDescent="0.25" r="23" customHeight="1" ht="19.5">
      <c r="A23" s="1"/>
      <c r="B23" s="20"/>
      <c r="C23" s="2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0"/>
      <c r="T23" s="10"/>
      <c r="U23" s="1"/>
    </row>
    <row x14ac:dyDescent="0.25" r="24" customHeight="1" ht="19.5">
      <c r="A24" s="1"/>
      <c r="B24" s="20" t="s">
        <v>6</v>
      </c>
      <c r="C24" s="28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0"/>
      <c r="T24" s="10"/>
      <c r="U24" s="1"/>
    </row>
    <row x14ac:dyDescent="0.25" r="25" customHeight="1" ht="19.5">
      <c r="A25" s="1"/>
      <c r="B25" s="20">
        <v>1</v>
      </c>
      <c r="C25" s="222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0"/>
      <c r="T25" s="10"/>
      <c r="U25" s="1"/>
    </row>
    <row x14ac:dyDescent="0.25" r="26" customHeight="1" ht="16.5">
      <c r="A26" s="1"/>
      <c r="B26" s="20">
        <v>2</v>
      </c>
      <c r="C26" s="224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0"/>
      <c r="T26" s="10"/>
      <c r="U26" s="1"/>
    </row>
    <row x14ac:dyDescent="0.25" r="27" customHeight="1" ht="16.5">
      <c r="A27" s="1"/>
      <c r="B27" s="20">
        <v>3</v>
      </c>
      <c r="C27" s="224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0"/>
      <c r="T27" s="10"/>
      <c r="U27" s="1"/>
    </row>
    <row x14ac:dyDescent="0.25" r="28" customHeight="1" ht="19.5">
      <c r="A28" s="1"/>
      <c r="B28" s="20">
        <v>4</v>
      </c>
      <c r="C28" s="224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0"/>
      <c r="T28" s="10"/>
      <c r="U28" s="1"/>
    </row>
    <row x14ac:dyDescent="0.25" r="29" customHeight="1" ht="19.5">
      <c r="A29" s="1"/>
      <c r="B29" s="20">
        <v>5</v>
      </c>
      <c r="C29" s="224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0"/>
      <c r="T29" s="10"/>
      <c r="U29" s="1"/>
    </row>
    <row x14ac:dyDescent="0.25" r="30" customHeight="1" ht="19.5">
      <c r="A30" s="1"/>
      <c r="B30" s="20">
        <v>6</v>
      </c>
      <c r="C30" s="224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0"/>
      <c r="T30" s="10"/>
      <c r="U30" s="1"/>
    </row>
    <row x14ac:dyDescent="0.25" r="31" customHeight="1" ht="19.5">
      <c r="A31" s="1"/>
      <c r="B31" s="20">
        <v>7</v>
      </c>
      <c r="C31" s="224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0"/>
      <c r="T31" s="10"/>
      <c r="U31" s="1"/>
    </row>
    <row x14ac:dyDescent="0.25" r="32" customHeight="1" ht="19.5">
      <c r="A32" s="1"/>
      <c r="B32" s="20">
        <v>8</v>
      </c>
      <c r="C32" s="224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0"/>
      <c r="T32" s="10"/>
      <c r="U32" s="1"/>
    </row>
    <row x14ac:dyDescent="0.25" r="33" customHeight="1" ht="19.5">
      <c r="A33" s="76"/>
      <c r="B33" s="77"/>
      <c r="C33" s="241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0"/>
      <c r="T33" s="10"/>
      <c r="U33" s="1"/>
    </row>
    <row x14ac:dyDescent="0.25" r="34" customHeight="1" ht="19.5">
      <c r="A34" s="76"/>
      <c r="B34" s="77"/>
      <c r="C34" s="28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0"/>
      <c r="T34" s="10"/>
      <c r="U34" s="1"/>
    </row>
    <row x14ac:dyDescent="0.25" r="35" customHeight="1" ht="19.5">
      <c r="A35" s="76"/>
      <c r="B35" s="77"/>
      <c r="C35" s="224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0"/>
      <c r="T35" s="10"/>
      <c r="U35" s="1"/>
    </row>
    <row x14ac:dyDescent="0.25" r="36" customHeight="1" ht="19.5">
      <c r="A36" s="76"/>
      <c r="B36" s="77"/>
      <c r="C36" s="224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0"/>
      <c r="T36" s="10"/>
      <c r="U36" s="1"/>
    </row>
    <row x14ac:dyDescent="0.25" r="37" customHeight="1" ht="19.5">
      <c r="A37" s="76"/>
      <c r="B37" s="77"/>
      <c r="C37" s="224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0"/>
      <c r="T37" s="10"/>
      <c r="U37" s="1"/>
    </row>
    <row x14ac:dyDescent="0.25" r="38" customHeight="1" ht="19.5">
      <c r="A38" s="76"/>
      <c r="B38" s="77"/>
      <c r="C38" s="224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0"/>
      <c r="T38" s="10"/>
      <c r="U38" s="1"/>
    </row>
    <row x14ac:dyDescent="0.25" r="39" customHeight="1" ht="19.5">
      <c r="A39" s="76"/>
      <c r="B39" s="77"/>
      <c r="C39" s="224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0"/>
      <c r="T39" s="10"/>
      <c r="U39" s="1"/>
    </row>
    <row x14ac:dyDescent="0.25" r="40" customHeight="1" ht="19.5">
      <c r="A40" s="76"/>
      <c r="B40" s="77"/>
      <c r="C40" s="224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0"/>
      <c r="T40" s="10"/>
      <c r="U40" s="1"/>
    </row>
    <row x14ac:dyDescent="0.25" r="41" customHeight="1" ht="19.5">
      <c r="A41" s="76"/>
      <c r="B41" s="77"/>
      <c r="C41" s="224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0"/>
      <c r="T41" s="10"/>
      <c r="U41" s="1"/>
    </row>
    <row x14ac:dyDescent="0.25" r="42" customHeight="1" ht="19.5">
      <c r="A42" s="76"/>
      <c r="B42" s="77"/>
      <c r="C42" s="224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0"/>
      <c r="T42" s="10"/>
      <c r="U42" s="1"/>
    </row>
    <row x14ac:dyDescent="0.25" r="43" customHeight="1" ht="16.5">
      <c r="A43" s="76"/>
      <c r="B43" s="77"/>
      <c r="C43" s="223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0"/>
      <c r="T43" s="10"/>
      <c r="U43" s="1"/>
    </row>
    <row x14ac:dyDescent="0.25" r="44" customHeight="1" ht="16.5">
      <c r="A44" s="76"/>
      <c r="B44" s="77"/>
      <c r="C44" s="86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0"/>
      <c r="T44" s="10"/>
      <c r="U44" s="1"/>
    </row>
    <row x14ac:dyDescent="0.25" r="45" customHeight="1" ht="19.5">
      <c r="A45" s="76"/>
      <c r="B45" s="77"/>
      <c r="C45" s="224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0"/>
      <c r="T45" s="10"/>
      <c r="U45" s="1"/>
    </row>
    <row x14ac:dyDescent="0.25" r="46" customHeight="1" ht="19.5">
      <c r="A46" s="76"/>
      <c r="B46" s="77"/>
      <c r="C46" s="224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0"/>
      <c r="T46" s="10"/>
      <c r="U46" s="1"/>
    </row>
    <row x14ac:dyDescent="0.25" r="47" customHeight="1" ht="19.5">
      <c r="A47" s="76"/>
      <c r="B47" s="77"/>
      <c r="C47" s="224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0"/>
      <c r="T47" s="10"/>
      <c r="U47" s="1"/>
    </row>
    <row x14ac:dyDescent="0.25" r="48" customHeight="1" ht="19.5">
      <c r="A48" s="76"/>
      <c r="B48" s="77"/>
      <c r="C48" s="224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0"/>
      <c r="T48" s="10"/>
      <c r="U48" s="1"/>
    </row>
    <row x14ac:dyDescent="0.25" r="49" customHeight="1" ht="19.5">
      <c r="A49" s="76"/>
      <c r="B49" s="77"/>
      <c r="C49" s="224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0"/>
      <c r="T49" s="10"/>
      <c r="U49" s="1"/>
    </row>
    <row x14ac:dyDescent="0.25" r="50" customHeight="1" ht="19.5">
      <c r="A50" s="76"/>
      <c r="B50" s="77"/>
      <c r="C50" s="224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0"/>
      <c r="T50" s="10"/>
      <c r="U50" s="1"/>
    </row>
    <row x14ac:dyDescent="0.25" r="51" customHeight="1" ht="19.5">
      <c r="A51" s="76"/>
      <c r="B51" s="77"/>
      <c r="C51" s="224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0"/>
      <c r="T51" s="10"/>
      <c r="U51" s="1"/>
    </row>
    <row x14ac:dyDescent="0.25" r="52" customHeight="1" ht="19.5">
      <c r="A52" s="76"/>
      <c r="B52" s="77"/>
      <c r="C52" s="224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0"/>
      <c r="T52" s="10"/>
      <c r="U52" s="1"/>
    </row>
    <row x14ac:dyDescent="0.25" r="53" customHeight="1" ht="16.5">
      <c r="A53" s="76"/>
      <c r="B53" s="77"/>
      <c r="C53" s="242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0"/>
      <c r="T53" s="10"/>
      <c r="U53" s="1"/>
    </row>
    <row x14ac:dyDescent="0.25" r="54" customHeight="1" ht="16.5">
      <c r="A54" s="76"/>
      <c r="B54" s="77"/>
      <c r="C54" s="243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0"/>
      <c r="T54" s="10"/>
      <c r="U54" s="1"/>
    </row>
    <row x14ac:dyDescent="0.25" r="55" customHeight="1" ht="19.5">
      <c r="A55" s="76"/>
      <c r="B55" s="77"/>
      <c r="C55" s="224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0"/>
      <c r="T55" s="10"/>
      <c r="U55" s="1"/>
    </row>
    <row x14ac:dyDescent="0.25" r="56" customHeight="1" ht="19.5">
      <c r="A56" s="76"/>
      <c r="B56" s="77"/>
      <c r="C56" s="224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0"/>
      <c r="T56" s="10"/>
      <c r="U56" s="1"/>
    </row>
    <row x14ac:dyDescent="0.25" r="57" customHeight="1" ht="19.5">
      <c r="A57" s="76"/>
      <c r="B57" s="77"/>
      <c r="C57" s="224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0"/>
      <c r="T57" s="10"/>
      <c r="U57" s="1"/>
    </row>
    <row x14ac:dyDescent="0.25" r="58" customHeight="1" ht="19.5">
      <c r="A58" s="76"/>
      <c r="B58" s="77"/>
      <c r="C58" s="224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0"/>
      <c r="T58" s="10"/>
      <c r="U58" s="1"/>
    </row>
    <row x14ac:dyDescent="0.25" r="59" customHeight="1" ht="19.5">
      <c r="A59" s="76"/>
      <c r="B59" s="77"/>
      <c r="C59" s="224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0"/>
      <c r="T59" s="10"/>
      <c r="U59" s="1"/>
    </row>
    <row x14ac:dyDescent="0.25" r="60" customHeight="1" ht="19.5">
      <c r="A60" s="76"/>
      <c r="B60" s="77"/>
      <c r="C60" s="224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0"/>
      <c r="T60" s="10"/>
      <c r="U60" s="1"/>
    </row>
    <row x14ac:dyDescent="0.25" r="61" customHeight="1" ht="19.5">
      <c r="A61" s="76"/>
      <c r="B61" s="77"/>
      <c r="C61" s="224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0"/>
      <c r="T61" s="10"/>
      <c r="U61" s="1"/>
    </row>
    <row x14ac:dyDescent="0.25" r="62" customHeight="1" ht="19.5">
      <c r="A62" s="76"/>
      <c r="B62" s="77"/>
      <c r="C62" s="224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0"/>
      <c r="T62" s="10"/>
      <c r="U62" s="1"/>
    </row>
    <row x14ac:dyDescent="0.25" r="63" customHeight="1" ht="19.5">
      <c r="A63" s="76"/>
      <c r="B63" s="77"/>
      <c r="C63" s="244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0"/>
      <c r="T63" s="10"/>
      <c r="U63" s="1"/>
    </row>
    <row x14ac:dyDescent="0.25" r="64" customHeight="1" ht="19.5">
      <c r="A64" s="76"/>
      <c r="B64" s="77"/>
      <c r="C64" s="245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0"/>
      <c r="T64" s="10"/>
      <c r="U64" s="1"/>
    </row>
    <row x14ac:dyDescent="0.25" r="65" customHeight="1" ht="19.5">
      <c r="A65" s="76"/>
      <c r="B65" s="77"/>
      <c r="C65" s="224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0"/>
      <c r="T65" s="10"/>
      <c r="U65" s="1"/>
    </row>
    <row x14ac:dyDescent="0.25" r="66" customHeight="1" ht="19.5">
      <c r="A66" s="76"/>
      <c r="B66" s="77"/>
      <c r="C66" s="224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0"/>
      <c r="T66" s="10"/>
      <c r="U66" s="1"/>
    </row>
    <row x14ac:dyDescent="0.25" r="67" customHeight="1" ht="19.5">
      <c r="A67" s="76"/>
      <c r="B67" s="77"/>
      <c r="C67" s="224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0"/>
      <c r="T67" s="10"/>
      <c r="U67" s="1"/>
    </row>
    <row x14ac:dyDescent="0.25" r="68" customHeight="1" ht="19.5">
      <c r="A68" s="76"/>
      <c r="B68" s="77"/>
      <c r="C68" s="224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0"/>
      <c r="T68" s="10"/>
      <c r="U68" s="1"/>
    </row>
    <row x14ac:dyDescent="0.25" r="69" customHeight="1" ht="19.5">
      <c r="A69" s="76"/>
      <c r="B69" s="77"/>
      <c r="C69" s="224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0"/>
      <c r="T69" s="10"/>
      <c r="U69" s="1"/>
    </row>
    <row x14ac:dyDescent="0.25" r="70" customHeight="1" ht="19.5">
      <c r="A70" s="76"/>
      <c r="B70" s="77"/>
      <c r="C70" s="224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0"/>
      <c r="T70" s="10"/>
      <c r="U70" s="1"/>
    </row>
    <row x14ac:dyDescent="0.25" r="71" customHeight="1" ht="19.5">
      <c r="A71" s="76"/>
      <c r="B71" s="77"/>
      <c r="C71" s="224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0"/>
      <c r="T71" s="10"/>
      <c r="U71" s="1"/>
    </row>
    <row x14ac:dyDescent="0.25" r="72" customHeight="1" ht="19.5">
      <c r="A72" s="76"/>
      <c r="B72" s="77"/>
      <c r="C72" s="224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0"/>
      <c r="T72" s="10"/>
      <c r="U72" s="1"/>
    </row>
    <row x14ac:dyDescent="0.25" r="73" customHeight="1" ht="19.5">
      <c r="A73" s="76"/>
      <c r="B73" s="77"/>
      <c r="C73" s="246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0"/>
      <c r="T73" s="10"/>
      <c r="U73" s="1"/>
    </row>
    <row x14ac:dyDescent="0.25" r="74" customHeight="1" ht="16.5">
      <c r="A74" s="76"/>
      <c r="B74" s="77"/>
      <c r="C74" s="247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0"/>
      <c r="T74" s="10"/>
      <c r="U74" s="1"/>
    </row>
    <row x14ac:dyDescent="0.25" r="75" customHeight="1" ht="19.5">
      <c r="A75" s="76"/>
      <c r="B75" s="77"/>
      <c r="C75" s="224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0"/>
      <c r="T75" s="10"/>
      <c r="U75" s="1"/>
    </row>
    <row x14ac:dyDescent="0.25" r="76" customHeight="1" ht="19.5">
      <c r="A76" s="76"/>
      <c r="B76" s="77"/>
      <c r="C76" s="224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0"/>
      <c r="T76" s="10"/>
      <c r="U76" s="1"/>
    </row>
    <row x14ac:dyDescent="0.25" r="77" customHeight="1" ht="19.5">
      <c r="A77" s="76"/>
      <c r="B77" s="77"/>
      <c r="C77" s="224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0"/>
      <c r="T77" s="10"/>
      <c r="U77" s="1"/>
    </row>
    <row x14ac:dyDescent="0.25" r="78" customHeight="1" ht="19.5">
      <c r="A78" s="76"/>
      <c r="B78" s="77"/>
      <c r="C78" s="224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0"/>
      <c r="T78" s="10"/>
      <c r="U78" s="1"/>
    </row>
    <row x14ac:dyDescent="0.25" r="79" customHeight="1" ht="19.5">
      <c r="A79" s="76"/>
      <c r="B79" s="77"/>
      <c r="C79" s="224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0"/>
      <c r="T79" s="10"/>
      <c r="U79" s="1"/>
    </row>
    <row x14ac:dyDescent="0.25" r="80" customHeight="1" ht="19.5">
      <c r="A80" s="76"/>
      <c r="B80" s="77"/>
      <c r="C80" s="224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0"/>
      <c r="T80" s="10"/>
      <c r="U80" s="1"/>
    </row>
    <row x14ac:dyDescent="0.25" r="81" customHeight="1" ht="19.5">
      <c r="A81" s="76"/>
      <c r="B81" s="77"/>
      <c r="C81" s="224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0"/>
      <c r="T81" s="10"/>
      <c r="U81" s="1"/>
    </row>
    <row x14ac:dyDescent="0.25" r="82" customHeight="1" ht="19.5">
      <c r="A82" s="76"/>
      <c r="B82" s="77"/>
      <c r="C82" s="224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0"/>
      <c r="T82" s="10"/>
      <c r="U82" s="1"/>
    </row>
    <row x14ac:dyDescent="0.25" r="83" customHeight="1" ht="19.5">
      <c r="A83" s="76"/>
      <c r="B83" s="77"/>
      <c r="C83" s="246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0"/>
      <c r="T83" s="10"/>
      <c r="U83" s="1"/>
    </row>
    <row x14ac:dyDescent="0.25" r="84" customHeight="1" ht="19.5">
      <c r="A84" s="76"/>
      <c r="B84" s="77"/>
      <c r="C84" s="245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0"/>
      <c r="T84" s="10"/>
      <c r="U84" s="1"/>
    </row>
    <row x14ac:dyDescent="0.25" r="85" customHeight="1" ht="19.5">
      <c r="A85" s="76"/>
      <c r="B85" s="77"/>
      <c r="C85" s="224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0"/>
      <c r="T85" s="10"/>
      <c r="U85" s="1"/>
    </row>
    <row x14ac:dyDescent="0.25" r="86" customHeight="1" ht="19.5">
      <c r="A86" s="76"/>
      <c r="B86" s="77"/>
      <c r="C86" s="224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0"/>
      <c r="T86" s="10"/>
      <c r="U86" s="1"/>
    </row>
    <row x14ac:dyDescent="0.25" r="87" customHeight="1" ht="19.5">
      <c r="A87" s="76"/>
      <c r="B87" s="77"/>
      <c r="C87" s="224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0"/>
      <c r="T87" s="10"/>
      <c r="U87" s="1"/>
    </row>
    <row x14ac:dyDescent="0.25" r="88" customHeight="1" ht="19.5">
      <c r="A88" s="76"/>
      <c r="B88" s="77"/>
      <c r="C88" s="224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0"/>
      <c r="T88" s="10"/>
      <c r="U88" s="1"/>
    </row>
    <row x14ac:dyDescent="0.25" r="89" customHeight="1" ht="19.5">
      <c r="A89" s="76"/>
      <c r="B89" s="77"/>
      <c r="C89" s="224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0"/>
      <c r="T89" s="10"/>
      <c r="U89" s="1"/>
    </row>
    <row x14ac:dyDescent="0.25" r="90" customHeight="1" ht="19.5">
      <c r="A90" s="76"/>
      <c r="B90" s="77"/>
      <c r="C90" s="224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0"/>
      <c r="T90" s="10"/>
      <c r="U90" s="1"/>
    </row>
    <row x14ac:dyDescent="0.25" r="91" customHeight="1" ht="19.5">
      <c r="A91" s="76"/>
      <c r="B91" s="77"/>
      <c r="C91" s="224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0"/>
      <c r="T91" s="10"/>
      <c r="U91" s="1"/>
    </row>
    <row x14ac:dyDescent="0.25" r="92" customHeight="1" ht="19.5">
      <c r="A92" s="76"/>
      <c r="B92" s="77"/>
      <c r="C92" s="224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0"/>
      <c r="T92" s="10"/>
      <c r="U92" s="1"/>
    </row>
    <row x14ac:dyDescent="0.25" r="93" customHeight="1" ht="19.5">
      <c r="A93" s="76"/>
      <c r="B93" s="77"/>
      <c r="C93" s="248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0"/>
      <c r="T93" s="10"/>
      <c r="U93" s="1"/>
    </row>
    <row x14ac:dyDescent="0.25" r="94" customHeight="1" ht="19.5">
      <c r="A94" s="76"/>
      <c r="B94" s="77"/>
      <c r="C94" s="247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0"/>
      <c r="T94" s="10"/>
      <c r="U94" s="1"/>
    </row>
    <row x14ac:dyDescent="0.25" r="95" customHeight="1" ht="19.5">
      <c r="A95" s="76"/>
      <c r="B95" s="77"/>
      <c r="C95" s="224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0"/>
      <c r="T95" s="10"/>
      <c r="U95" s="1"/>
    </row>
    <row x14ac:dyDescent="0.25" r="96" customHeight="1" ht="19.5">
      <c r="A96" s="76"/>
      <c r="B96" s="77"/>
      <c r="C96" s="224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0"/>
      <c r="T96" s="10"/>
      <c r="U96" s="1"/>
    </row>
    <row x14ac:dyDescent="0.25" r="97" customHeight="1" ht="19.5">
      <c r="A97" s="76"/>
      <c r="B97" s="77"/>
      <c r="C97" s="224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0"/>
      <c r="T97" s="10"/>
      <c r="U97" s="1"/>
    </row>
    <row x14ac:dyDescent="0.25" r="98" customHeight="1" ht="19.5">
      <c r="A98" s="76"/>
      <c r="B98" s="77"/>
      <c r="C98" s="224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0"/>
      <c r="T98" s="10"/>
      <c r="U98" s="1"/>
    </row>
    <row x14ac:dyDescent="0.25" r="99" customHeight="1" ht="19.5">
      <c r="A99" s="76"/>
      <c r="B99" s="77"/>
      <c r="C99" s="222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0"/>
      <c r="T99" s="10"/>
      <c r="U99" s="1"/>
    </row>
    <row x14ac:dyDescent="0.25" r="100" customHeight="1" ht="19.5">
      <c r="A100" s="76"/>
      <c r="B100" s="77"/>
      <c r="C100" s="222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0"/>
      <c r="T100" s="10"/>
      <c r="U100" s="1"/>
    </row>
    <row x14ac:dyDescent="0.25" r="101" customHeight="1" ht="19.5">
      <c r="A101" s="76"/>
      <c r="B101" s="77"/>
      <c r="C101" s="222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0"/>
      <c r="T101" s="10"/>
      <c r="U101" s="1"/>
    </row>
    <row x14ac:dyDescent="0.25" r="102" customHeight="1" ht="19.5">
      <c r="A102" s="76"/>
      <c r="B102" s="77"/>
      <c r="C102" s="222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0"/>
      <c r="T102" s="10"/>
      <c r="U102" s="1"/>
    </row>
    <row x14ac:dyDescent="0.25" r="103" customHeight="1" ht="19.5">
      <c r="A103" s="1"/>
      <c r="B103" s="20"/>
      <c r="C103" s="249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0"/>
      <c r="T103" s="10"/>
      <c r="U103" s="1"/>
    </row>
    <row x14ac:dyDescent="0.25" r="104" customHeight="1" ht="19.5">
      <c r="A104" s="1"/>
      <c r="B104" s="20" t="s">
        <v>6</v>
      </c>
      <c r="C104" s="28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0"/>
      <c r="T104" s="10"/>
      <c r="U104" s="1"/>
    </row>
    <row x14ac:dyDescent="0.25" r="105" customHeight="1" ht="19.5">
      <c r="A105" s="1"/>
      <c r="B105" s="20">
        <v>1</v>
      </c>
      <c r="C105" s="224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0"/>
      <c r="T105" s="10"/>
      <c r="U105" s="1"/>
    </row>
    <row x14ac:dyDescent="0.25" r="106" customHeight="1" ht="19.5">
      <c r="A106" s="1"/>
      <c r="B106" s="20">
        <v>2</v>
      </c>
      <c r="C106" s="224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0"/>
      <c r="T106" s="10"/>
      <c r="U106" s="1"/>
    </row>
    <row x14ac:dyDescent="0.25" r="107" customHeight="1" ht="19.5">
      <c r="A107" s="1"/>
      <c r="B107" s="20">
        <v>3</v>
      </c>
      <c r="C107" s="224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0"/>
      <c r="T107" s="10"/>
      <c r="U107" s="1"/>
    </row>
    <row x14ac:dyDescent="0.25" r="108" customHeight="1" ht="19.5">
      <c r="A108" s="1"/>
      <c r="B108" s="20">
        <v>4</v>
      </c>
      <c r="C108" s="224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0"/>
      <c r="T108" s="10"/>
      <c r="U108" s="1"/>
    </row>
    <row x14ac:dyDescent="0.25" r="109" customHeight="1" ht="19.5">
      <c r="A109" s="1"/>
      <c r="B109" s="20">
        <v>5</v>
      </c>
      <c r="C109" s="224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0"/>
      <c r="T109" s="10"/>
      <c r="U109" s="1"/>
    </row>
    <row x14ac:dyDescent="0.25" r="110" customHeight="1" ht="19.5">
      <c r="A110" s="1"/>
      <c r="B110" s="20">
        <v>6</v>
      </c>
      <c r="C110" s="224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0"/>
      <c r="T110" s="10"/>
      <c r="U110" s="1"/>
    </row>
    <row x14ac:dyDescent="0.25" r="111" customHeight="1" ht="19.5">
      <c r="A111" s="1"/>
      <c r="B111" s="20">
        <v>7</v>
      </c>
      <c r="C111" s="224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0"/>
      <c r="T111" s="10"/>
      <c r="U111" s="1"/>
    </row>
    <row x14ac:dyDescent="0.25" r="112" customHeight="1" ht="19.5">
      <c r="A112" s="1"/>
      <c r="B112" s="20">
        <v>8</v>
      </c>
      <c r="C112" s="224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0"/>
      <c r="T112" s="10"/>
      <c r="U112" s="1"/>
    </row>
    <row x14ac:dyDescent="0.25" r="113" customHeight="1" ht="19.5">
      <c r="A113" s="1"/>
      <c r="B113" s="20"/>
      <c r="C113" s="25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0"/>
      <c r="T113" s="10"/>
      <c r="U113" s="1"/>
    </row>
    <row x14ac:dyDescent="0.25" r="114" customHeight="1" ht="19.5">
      <c r="A114" s="1"/>
      <c r="B114" s="20"/>
      <c r="C114" s="28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0"/>
      <c r="T114" s="10"/>
      <c r="U114" s="1"/>
    </row>
    <row x14ac:dyDescent="0.25" r="115" customHeight="1" ht="19.5">
      <c r="A115" s="1"/>
      <c r="B115" s="20"/>
      <c r="C115" s="224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0"/>
      <c r="T115" s="10"/>
      <c r="U115" s="1"/>
    </row>
    <row x14ac:dyDescent="0.25" r="116" customHeight="1" ht="19.5">
      <c r="A116" s="1"/>
      <c r="B116" s="20"/>
      <c r="C116" s="224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0"/>
      <c r="T116" s="10"/>
      <c r="U116" s="1"/>
    </row>
    <row x14ac:dyDescent="0.25" r="117" customHeight="1" ht="19.5">
      <c r="A117" s="1"/>
      <c r="B117" s="20"/>
      <c r="C117" s="224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0"/>
      <c r="T117" s="10"/>
      <c r="U117" s="1"/>
    </row>
    <row x14ac:dyDescent="0.25" r="118" customHeight="1" ht="19.5">
      <c r="A118" s="1"/>
      <c r="B118" s="20"/>
      <c r="C118" s="224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0"/>
      <c r="T118" s="10"/>
      <c r="U118" s="1"/>
    </row>
    <row x14ac:dyDescent="0.25" r="119" customHeight="1" ht="19.5">
      <c r="A119" s="1"/>
      <c r="B119" s="20"/>
      <c r="C119" s="224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0"/>
      <c r="T119" s="10"/>
      <c r="U119" s="1"/>
    </row>
    <row x14ac:dyDescent="0.25" r="120" customHeight="1" ht="19.5">
      <c r="A120" s="1"/>
      <c r="B120" s="20"/>
      <c r="C120" s="224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0"/>
      <c r="T120" s="10"/>
      <c r="U120" s="1"/>
    </row>
    <row x14ac:dyDescent="0.25" r="121" customHeight="1" ht="19.5">
      <c r="A121" s="1"/>
      <c r="B121" s="20"/>
      <c r="C121" s="224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0"/>
      <c r="T121" s="10"/>
      <c r="U121" s="1"/>
    </row>
    <row x14ac:dyDescent="0.25" r="122" customHeight="1" ht="19.5">
      <c r="A122" s="1"/>
      <c r="B122" s="20"/>
      <c r="C122" s="224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0"/>
      <c r="T122" s="10"/>
      <c r="U122" s="1"/>
    </row>
    <row x14ac:dyDescent="0.25" r="123" customHeight="1" ht="19.5">
      <c r="A123" s="1"/>
      <c r="B123" s="20"/>
      <c r="C123" s="251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0"/>
      <c r="T123" s="10"/>
      <c r="U123" s="1"/>
    </row>
    <row x14ac:dyDescent="0.25" r="124" customHeight="1" ht="19.5">
      <c r="A124" s="1"/>
      <c r="B124" s="20"/>
      <c r="C124" s="28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0"/>
      <c r="T124" s="10"/>
      <c r="U124" s="1"/>
    </row>
    <row x14ac:dyDescent="0.25" r="125" customHeight="1" ht="19.5">
      <c r="A125" s="1"/>
      <c r="B125" s="20"/>
      <c r="C125" s="224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0"/>
      <c r="T125" s="10"/>
      <c r="U125" s="1"/>
    </row>
    <row x14ac:dyDescent="0.25" r="126" customHeight="1" ht="19.5">
      <c r="A126" s="1"/>
      <c r="B126" s="20"/>
      <c r="C126" s="224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0"/>
      <c r="T126" s="10"/>
      <c r="U126" s="1"/>
    </row>
    <row x14ac:dyDescent="0.25" r="127" customHeight="1" ht="19.5">
      <c r="A127" s="1"/>
      <c r="B127" s="20"/>
      <c r="C127" s="224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0"/>
      <c r="T127" s="10"/>
      <c r="U127" s="1"/>
    </row>
    <row x14ac:dyDescent="0.25" r="128" customHeight="1" ht="19.5">
      <c r="A128" s="1"/>
      <c r="B128" s="20"/>
      <c r="C128" s="224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0"/>
      <c r="T128" s="10"/>
      <c r="U128" s="1"/>
    </row>
    <row x14ac:dyDescent="0.25" r="129" customHeight="1" ht="19.5">
      <c r="A129" s="1"/>
      <c r="B129" s="20"/>
      <c r="C129" s="224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0"/>
      <c r="T129" s="10"/>
      <c r="U129" s="1"/>
    </row>
    <row x14ac:dyDescent="0.25" r="130" customHeight="1" ht="19.5">
      <c r="A130" s="1"/>
      <c r="B130" s="20"/>
      <c r="C130" s="224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0"/>
      <c r="T130" s="10"/>
      <c r="U130" s="1"/>
    </row>
    <row x14ac:dyDescent="0.25" r="131" customHeight="1" ht="19.5">
      <c r="A131" s="1"/>
      <c r="B131" s="20"/>
      <c r="C131" s="224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0"/>
      <c r="T131" s="10"/>
      <c r="U131" s="1"/>
    </row>
    <row x14ac:dyDescent="0.25" r="132" customHeight="1" ht="19.5">
      <c r="A132" s="1"/>
      <c r="B132" s="20"/>
      <c r="C132" s="224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0"/>
      <c r="T132" s="10"/>
      <c r="U132" s="1"/>
    </row>
    <row x14ac:dyDescent="0.25" r="133" customHeight="1" ht="19.5">
      <c r="A133" s="1"/>
      <c r="B133" s="20"/>
      <c r="C133" s="251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0"/>
      <c r="T133" s="10"/>
      <c r="U133" s="1"/>
    </row>
    <row x14ac:dyDescent="0.25" r="134" customHeight="1" ht="19.5">
      <c r="A134" s="1"/>
      <c r="B134" s="20"/>
      <c r="C134" s="28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0"/>
      <c r="T134" s="10"/>
      <c r="U134" s="1"/>
    </row>
    <row x14ac:dyDescent="0.25" r="135" customHeight="1" ht="19.5">
      <c r="A135" s="1"/>
      <c r="B135" s="20"/>
      <c r="C135" s="224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0"/>
      <c r="T135" s="10"/>
      <c r="U135" s="1"/>
    </row>
    <row x14ac:dyDescent="0.25" r="136" customHeight="1" ht="19.5">
      <c r="A136" s="1"/>
      <c r="B136" s="20"/>
      <c r="C136" s="224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0"/>
      <c r="T136" s="10"/>
      <c r="U136" s="1"/>
    </row>
    <row x14ac:dyDescent="0.25" r="137" customHeight="1" ht="19.5">
      <c r="A137" s="1"/>
      <c r="B137" s="20"/>
      <c r="C137" s="224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0"/>
      <c r="T137" s="10"/>
      <c r="U137" s="1"/>
    </row>
    <row x14ac:dyDescent="0.25" r="138" customHeight="1" ht="19.5">
      <c r="A138" s="1"/>
      <c r="B138" s="20"/>
      <c r="C138" s="224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0"/>
      <c r="T138" s="10"/>
      <c r="U138" s="1"/>
    </row>
    <row x14ac:dyDescent="0.25" r="139" customHeight="1" ht="19.5">
      <c r="A139" s="1"/>
      <c r="B139" s="20"/>
      <c r="C139" s="224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0"/>
      <c r="T139" s="10"/>
      <c r="U139" s="1"/>
    </row>
    <row x14ac:dyDescent="0.25" r="140" customHeight="1" ht="19.5">
      <c r="A140" s="1"/>
      <c r="B140" s="20"/>
      <c r="C140" s="224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0"/>
      <c r="T140" s="10"/>
      <c r="U140" s="1"/>
    </row>
    <row x14ac:dyDescent="0.25" r="141" customHeight="1" ht="19.5">
      <c r="A141" s="1"/>
      <c r="B141" s="20"/>
      <c r="C141" s="224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0"/>
      <c r="T141" s="10"/>
      <c r="U141" s="1"/>
    </row>
    <row x14ac:dyDescent="0.25" r="142" customHeight="1" ht="19.5">
      <c r="A142" s="1"/>
      <c r="B142" s="20"/>
      <c r="C142" s="224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0"/>
      <c r="T142" s="10"/>
      <c r="U142" s="1"/>
    </row>
    <row x14ac:dyDescent="0.25" r="143" customHeight="1" ht="19.5">
      <c r="A143" s="76"/>
      <c r="B143" s="77"/>
      <c r="C143" s="252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0"/>
      <c r="T143" s="10"/>
      <c r="U143" s="1"/>
    </row>
    <row x14ac:dyDescent="0.25" r="144" customHeight="1" ht="19.5">
      <c r="A144" s="76"/>
      <c r="B144" s="77"/>
      <c r="C144" s="28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0"/>
      <c r="T144" s="10"/>
      <c r="U144" s="1"/>
    </row>
    <row x14ac:dyDescent="0.25" r="145" customHeight="1" ht="19.5">
      <c r="A145" s="76"/>
      <c r="B145" s="77"/>
      <c r="C145" s="222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0"/>
      <c r="T145" s="10"/>
      <c r="U145" s="1"/>
    </row>
    <row x14ac:dyDescent="0.25" r="146" customHeight="1" ht="19.5">
      <c r="A146" s="76"/>
      <c r="B146" s="77"/>
      <c r="C146" s="224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0"/>
      <c r="T146" s="10"/>
      <c r="U146" s="1"/>
    </row>
    <row x14ac:dyDescent="0.25" r="147" customHeight="1" ht="19.5">
      <c r="A147" s="76"/>
      <c r="B147" s="77"/>
      <c r="C147" s="224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0"/>
      <c r="T147" s="10"/>
      <c r="U147" s="1"/>
    </row>
    <row x14ac:dyDescent="0.25" r="148" customHeight="1" ht="19.5">
      <c r="A148" s="76"/>
      <c r="B148" s="77"/>
      <c r="C148" s="224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0"/>
      <c r="T148" s="10"/>
      <c r="U148" s="1"/>
    </row>
    <row x14ac:dyDescent="0.25" r="149" customHeight="1" ht="19.5">
      <c r="A149" s="76"/>
      <c r="B149" s="77"/>
      <c r="C149" s="224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0"/>
      <c r="T149" s="10"/>
      <c r="U149" s="1"/>
    </row>
    <row x14ac:dyDescent="0.25" r="150" customHeight="1" ht="19.5">
      <c r="A150" s="76"/>
      <c r="B150" s="77"/>
      <c r="C150" s="224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0"/>
      <c r="T150" s="10"/>
      <c r="U150" s="1"/>
    </row>
    <row x14ac:dyDescent="0.25" r="151" customHeight="1" ht="19.5">
      <c r="A151" s="76"/>
      <c r="B151" s="77"/>
      <c r="C151" s="224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0"/>
      <c r="T151" s="10"/>
      <c r="U151" s="1"/>
    </row>
    <row x14ac:dyDescent="0.25" r="152" customHeight="1" ht="19.5">
      <c r="A152" s="76"/>
      <c r="B152" s="77"/>
      <c r="C152" s="224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0"/>
      <c r="T152" s="10"/>
      <c r="U152" s="1"/>
    </row>
    <row x14ac:dyDescent="0.25" r="153" customHeight="1" ht="19.5">
      <c r="A153" s="1"/>
      <c r="B153" s="20"/>
      <c r="C153" s="253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0"/>
      <c r="T153" s="10"/>
      <c r="U153" s="1"/>
    </row>
    <row x14ac:dyDescent="0.25" r="154" customHeight="1" ht="19.5">
      <c r="A154" s="1"/>
      <c r="B154" s="20"/>
      <c r="C154" s="28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0"/>
      <c r="T154" s="10"/>
      <c r="U154" s="1"/>
    </row>
    <row x14ac:dyDescent="0.25" r="155" customHeight="1" ht="19.5">
      <c r="A155" s="1"/>
      <c r="B155" s="20"/>
      <c r="C155" s="224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0"/>
      <c r="T155" s="10"/>
      <c r="U155" s="1"/>
    </row>
    <row x14ac:dyDescent="0.25" r="156" customHeight="1" ht="19.5">
      <c r="A156" s="1"/>
      <c r="B156" s="20"/>
      <c r="C156" s="224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0"/>
      <c r="T156" s="10"/>
      <c r="U156" s="1"/>
    </row>
    <row x14ac:dyDescent="0.25" r="157" customHeight="1" ht="19.5">
      <c r="A157" s="1"/>
      <c r="B157" s="20"/>
      <c r="C157" s="224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0"/>
      <c r="T157" s="10"/>
      <c r="U157" s="1"/>
    </row>
    <row x14ac:dyDescent="0.25" r="158" customHeight="1" ht="19.5">
      <c r="A158" s="1"/>
      <c r="B158" s="20"/>
      <c r="C158" s="224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0"/>
      <c r="T158" s="10"/>
      <c r="U158" s="1"/>
    </row>
    <row x14ac:dyDescent="0.25" r="159" customHeight="1" ht="19.5">
      <c r="A159" s="1"/>
      <c r="B159" s="20"/>
      <c r="C159" s="224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0"/>
      <c r="T159" s="10"/>
      <c r="U159" s="1"/>
    </row>
    <row x14ac:dyDescent="0.25" r="160" customHeight="1" ht="19.5">
      <c r="A160" s="1"/>
      <c r="B160" s="20"/>
      <c r="C160" s="224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0"/>
      <c r="T160" s="10"/>
      <c r="U160" s="1"/>
    </row>
    <row x14ac:dyDescent="0.25" r="161" customHeight="1" ht="19.5">
      <c r="A161" s="1"/>
      <c r="B161" s="20"/>
      <c r="C161" s="224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0"/>
      <c r="T161" s="10"/>
      <c r="U161" s="1"/>
    </row>
    <row x14ac:dyDescent="0.25" r="162" customHeight="1" ht="19.5">
      <c r="A162" s="1"/>
      <c r="B162" s="20"/>
      <c r="C162" s="224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0"/>
      <c r="T162" s="10"/>
      <c r="U162" s="1"/>
    </row>
    <row x14ac:dyDescent="0.25" r="163" customHeight="1" ht="16.5">
      <c r="A163" s="1"/>
      <c r="B163" s="20"/>
      <c r="C163" s="254" t="s">
        <v>189</v>
      </c>
      <c r="D163" s="255"/>
      <c r="E163" s="255"/>
      <c r="F163" s="255"/>
      <c r="G163" s="255"/>
      <c r="H163" s="255"/>
      <c r="I163" s="255"/>
      <c r="J163" s="256"/>
      <c r="K163" s="257"/>
      <c r="L163" s="257"/>
      <c r="M163" s="10"/>
      <c r="N163" s="10"/>
      <c r="O163" s="19"/>
      <c r="P163" s="10"/>
      <c r="Q163" s="10"/>
      <c r="R163" s="10"/>
      <c r="S163" s="10"/>
      <c r="T163" s="10"/>
      <c r="U163" s="1"/>
    </row>
    <row x14ac:dyDescent="0.25" r="164" customHeight="1" ht="16.5">
      <c r="A164" s="1"/>
      <c r="B164" s="20" t="s">
        <v>6</v>
      </c>
      <c r="C164" s="258"/>
      <c r="D164" s="259"/>
      <c r="E164" s="259"/>
      <c r="F164" s="259"/>
      <c r="G164" s="259"/>
      <c r="H164" s="259"/>
      <c r="I164" s="259"/>
      <c r="J164" s="260"/>
      <c r="K164" s="96"/>
      <c r="L164" s="96"/>
      <c r="M164" s="10"/>
      <c r="N164" s="10"/>
      <c r="O164" s="1"/>
      <c r="P164" s="10"/>
      <c r="Q164" s="10"/>
      <c r="R164" s="10"/>
      <c r="S164" s="10"/>
      <c r="T164" s="10"/>
      <c r="U164" s="1"/>
    </row>
    <row x14ac:dyDescent="0.25" r="165" customHeight="1" ht="19.5">
      <c r="A165" s="1"/>
      <c r="B165" s="20">
        <v>1</v>
      </c>
      <c r="C165" s="261" t="s">
        <v>190</v>
      </c>
      <c r="D165" s="262" t="s">
        <v>191</v>
      </c>
      <c r="E165" s="263" t="s">
        <v>192</v>
      </c>
      <c r="F165" s="262" t="s">
        <v>193</v>
      </c>
      <c r="G165" s="264" t="s">
        <v>194</v>
      </c>
      <c r="H165" s="265" t="s">
        <v>195</v>
      </c>
      <c r="I165" s="262"/>
      <c r="J165" s="262"/>
      <c r="K165" s="96"/>
      <c r="L165" s="96"/>
      <c r="M165" s="10"/>
      <c r="N165" s="10"/>
      <c r="O165" s="1"/>
      <c r="P165" s="10"/>
      <c r="Q165" s="10"/>
      <c r="R165" s="10"/>
      <c r="S165" s="10"/>
      <c r="T165" s="10"/>
      <c r="U165" s="1"/>
    </row>
    <row x14ac:dyDescent="0.25" r="166" customHeight="1" ht="19.5">
      <c r="A166" s="1"/>
      <c r="B166" s="20">
        <v>2</v>
      </c>
      <c r="C166" s="266"/>
      <c r="D166" s="267"/>
      <c r="E166" s="268"/>
      <c r="F166" s="267"/>
      <c r="G166" s="269" t="s">
        <v>196</v>
      </c>
      <c r="H166" s="270"/>
      <c r="I166" s="267"/>
      <c r="J166" s="267"/>
      <c r="K166" s="96"/>
      <c r="L166" s="96"/>
      <c r="M166" s="10"/>
      <c r="N166" s="10"/>
      <c r="O166" s="1"/>
      <c r="P166" s="10"/>
      <c r="Q166" s="10"/>
      <c r="R166" s="10"/>
      <c r="S166" s="10"/>
      <c r="T166" s="10"/>
      <c r="U166" s="1"/>
    </row>
    <row x14ac:dyDescent="0.25" r="167" customHeight="1" ht="19.5">
      <c r="A167" s="1"/>
      <c r="B167" s="20">
        <v>3</v>
      </c>
      <c r="C167" s="266"/>
      <c r="D167" s="267"/>
      <c r="E167" s="268"/>
      <c r="F167" s="267"/>
      <c r="G167" s="269" t="s">
        <v>197</v>
      </c>
      <c r="H167" s="270"/>
      <c r="I167" s="267"/>
      <c r="J167" s="267"/>
      <c r="K167" s="96"/>
      <c r="L167" s="96"/>
      <c r="M167" s="10"/>
      <c r="N167" s="10"/>
      <c r="O167" s="1"/>
      <c r="P167" s="10"/>
      <c r="Q167" s="10"/>
      <c r="R167" s="10"/>
      <c r="S167" s="10"/>
      <c r="T167" s="10"/>
      <c r="U167" s="1"/>
    </row>
    <row x14ac:dyDescent="0.25" r="168" customHeight="1" ht="19.5">
      <c r="A168" s="1"/>
      <c r="B168" s="20">
        <v>4</v>
      </c>
      <c r="C168" s="266"/>
      <c r="D168" s="267"/>
      <c r="E168" s="268"/>
      <c r="F168" s="267"/>
      <c r="G168" s="269" t="s">
        <v>198</v>
      </c>
      <c r="H168" s="270"/>
      <c r="I168" s="267"/>
      <c r="J168" s="267"/>
      <c r="K168" s="96"/>
      <c r="L168" s="96"/>
      <c r="M168" s="10"/>
      <c r="N168" s="10"/>
      <c r="O168" s="1"/>
      <c r="P168" s="10"/>
      <c r="Q168" s="10"/>
      <c r="R168" s="10"/>
      <c r="S168" s="10"/>
      <c r="T168" s="10"/>
      <c r="U168" s="1"/>
    </row>
    <row x14ac:dyDescent="0.25" r="169" customHeight="1" ht="19.5">
      <c r="A169" s="1"/>
      <c r="B169" s="20">
        <v>5</v>
      </c>
      <c r="C169" s="266"/>
      <c r="D169" s="267"/>
      <c r="E169" s="268"/>
      <c r="F169" s="267"/>
      <c r="G169" s="269" t="s">
        <v>199</v>
      </c>
      <c r="H169" s="270"/>
      <c r="I169" s="267"/>
      <c r="J169" s="267"/>
      <c r="K169" s="96"/>
      <c r="L169" s="96"/>
      <c r="M169" s="10"/>
      <c r="N169" s="10"/>
      <c r="O169" s="1"/>
      <c r="P169" s="10"/>
      <c r="Q169" s="10"/>
      <c r="R169" s="10"/>
      <c r="S169" s="10"/>
      <c r="T169" s="10"/>
      <c r="U169" s="1"/>
    </row>
    <row x14ac:dyDescent="0.25" r="170" customHeight="1" ht="19.5">
      <c r="A170" s="1"/>
      <c r="B170" s="20">
        <v>6</v>
      </c>
      <c r="C170" s="266"/>
      <c r="D170" s="267"/>
      <c r="E170" s="268"/>
      <c r="F170" s="267"/>
      <c r="G170" s="269" t="s">
        <v>200</v>
      </c>
      <c r="H170" s="270"/>
      <c r="I170" s="267"/>
      <c r="J170" s="267"/>
      <c r="K170" s="96"/>
      <c r="L170" s="96"/>
      <c r="M170" s="10"/>
      <c r="N170" s="10"/>
      <c r="O170" s="1"/>
      <c r="P170" s="10"/>
      <c r="Q170" s="10"/>
      <c r="R170" s="10"/>
      <c r="S170" s="10"/>
      <c r="T170" s="10"/>
      <c r="U170" s="1"/>
    </row>
    <row x14ac:dyDescent="0.25" r="171" customHeight="1" ht="19.5">
      <c r="A171" s="1"/>
      <c r="B171" s="20">
        <v>7</v>
      </c>
      <c r="C171" s="266"/>
      <c r="D171" s="267"/>
      <c r="E171" s="268"/>
      <c r="F171" s="267"/>
      <c r="G171" s="271" t="s">
        <v>201</v>
      </c>
      <c r="H171" s="270"/>
      <c r="I171" s="267"/>
      <c r="J171" s="267"/>
      <c r="K171" s="96"/>
      <c r="L171" s="96"/>
      <c r="M171" s="10"/>
      <c r="N171" s="10"/>
      <c r="O171" s="1"/>
      <c r="P171" s="10"/>
      <c r="Q171" s="10"/>
      <c r="R171" s="10"/>
      <c r="S171" s="10"/>
      <c r="T171" s="10"/>
      <c r="U171" s="1"/>
    </row>
    <row x14ac:dyDescent="0.25" r="172" customHeight="1" ht="19.5">
      <c r="A172" s="1"/>
      <c r="B172" s="20">
        <v>8</v>
      </c>
      <c r="C172" s="272"/>
      <c r="D172" s="273"/>
      <c r="E172" s="274"/>
      <c r="F172" s="273"/>
      <c r="G172" s="275" t="s">
        <v>202</v>
      </c>
      <c r="H172" s="276"/>
      <c r="I172" s="273"/>
      <c r="J172" s="273"/>
      <c r="K172" s="96"/>
      <c r="L172" s="96"/>
      <c r="M172" s="10"/>
      <c r="N172" s="10"/>
      <c r="O172" s="1"/>
      <c r="P172" s="10"/>
      <c r="Q172" s="10"/>
      <c r="R172" s="10"/>
      <c r="S172" s="10"/>
      <c r="T172" s="10"/>
      <c r="U172" s="1"/>
    </row>
    <row x14ac:dyDescent="0.25" r="173" customHeight="1" ht="19.5">
      <c r="A173" s="76"/>
      <c r="B173" s="77"/>
      <c r="C173" s="261" t="s">
        <v>47</v>
      </c>
      <c r="D173" s="277" t="s">
        <v>203</v>
      </c>
      <c r="E173" s="278" t="s">
        <v>204</v>
      </c>
      <c r="F173" s="262" t="s">
        <v>205</v>
      </c>
      <c r="G173" s="264" t="s">
        <v>206</v>
      </c>
      <c r="H173" s="279" t="s">
        <v>207</v>
      </c>
      <c r="I173" s="262"/>
      <c r="J173" s="262"/>
      <c r="K173" s="96"/>
      <c r="L173" s="96"/>
      <c r="M173" s="10"/>
      <c r="N173" s="10"/>
      <c r="O173" s="19"/>
      <c r="P173" s="10"/>
      <c r="Q173" s="10"/>
      <c r="R173" s="10"/>
      <c r="S173" s="10"/>
      <c r="T173" s="10"/>
      <c r="U173" s="1"/>
    </row>
    <row x14ac:dyDescent="0.25" r="174" customHeight="1" ht="19.5">
      <c r="A174" s="76"/>
      <c r="B174" s="77"/>
      <c r="C174" s="266"/>
      <c r="D174" s="280"/>
      <c r="E174" s="280" t="s">
        <v>208</v>
      </c>
      <c r="F174" s="267"/>
      <c r="G174" s="269" t="s">
        <v>209</v>
      </c>
      <c r="H174" s="269"/>
      <c r="I174" s="267"/>
      <c r="J174" s="267"/>
      <c r="K174" s="96"/>
      <c r="L174" s="96"/>
      <c r="M174" s="10"/>
      <c r="N174" s="10"/>
      <c r="O174" s="1"/>
      <c r="P174" s="10"/>
      <c r="Q174" s="10"/>
      <c r="R174" s="10"/>
      <c r="S174" s="10"/>
      <c r="T174" s="10"/>
      <c r="U174" s="1"/>
    </row>
    <row x14ac:dyDescent="0.25" r="175" customHeight="1" ht="19.5">
      <c r="A175" s="76"/>
      <c r="B175" s="77"/>
      <c r="C175" s="266"/>
      <c r="D175" s="280"/>
      <c r="E175" s="280"/>
      <c r="F175" s="267"/>
      <c r="G175" s="269" t="s">
        <v>210</v>
      </c>
      <c r="H175" s="269"/>
      <c r="I175" s="267"/>
      <c r="J175" s="267"/>
      <c r="K175" s="96"/>
      <c r="L175" s="96"/>
      <c r="M175" s="10"/>
      <c r="N175" s="10"/>
      <c r="O175" s="1"/>
      <c r="P175" s="10"/>
      <c r="Q175" s="10"/>
      <c r="R175" s="10"/>
      <c r="S175" s="10"/>
      <c r="T175" s="10"/>
      <c r="U175" s="1"/>
    </row>
    <row x14ac:dyDescent="0.25" r="176" customHeight="1" ht="19.5">
      <c r="A176" s="76"/>
      <c r="B176" s="77"/>
      <c r="C176" s="272"/>
      <c r="D176" s="281"/>
      <c r="E176" s="281"/>
      <c r="F176" s="273"/>
      <c r="G176" s="282" t="s">
        <v>202</v>
      </c>
      <c r="H176" s="282"/>
      <c r="I176" s="273"/>
      <c r="J176" s="273"/>
      <c r="K176" s="96"/>
      <c r="L176" s="96"/>
      <c r="M176" s="10"/>
      <c r="N176" s="10"/>
      <c r="O176" s="1"/>
      <c r="P176" s="10"/>
      <c r="Q176" s="10"/>
      <c r="R176" s="10"/>
      <c r="S176" s="10"/>
      <c r="T176" s="10"/>
      <c r="U176" s="1"/>
    </row>
    <row x14ac:dyDescent="0.25" r="177" customHeight="1" ht="19.5">
      <c r="A177" s="76"/>
      <c r="B177" s="77"/>
      <c r="C177" s="283" t="s">
        <v>211</v>
      </c>
      <c r="D177" s="284" t="s">
        <v>212</v>
      </c>
      <c r="E177" s="284" t="s">
        <v>213</v>
      </c>
      <c r="F177" s="284" t="s">
        <v>214</v>
      </c>
      <c r="G177" s="285" t="s">
        <v>215</v>
      </c>
      <c r="H177" s="286" t="s">
        <v>216</v>
      </c>
      <c r="I177" s="284" t="s">
        <v>217</v>
      </c>
      <c r="J177" s="284" t="s">
        <v>218</v>
      </c>
      <c r="K177" s="96"/>
      <c r="L177" s="96"/>
      <c r="M177" s="10"/>
      <c r="N177" s="10"/>
      <c r="O177" s="1"/>
      <c r="P177" s="10"/>
      <c r="Q177" s="10"/>
      <c r="R177" s="10"/>
      <c r="S177" s="10"/>
      <c r="T177" s="10"/>
      <c r="U177" s="1"/>
    </row>
    <row x14ac:dyDescent="0.25" r="178" customHeight="1" ht="19.5">
      <c r="A178" s="76"/>
      <c r="B178" s="77"/>
      <c r="C178" s="287"/>
      <c r="D178" s="288"/>
      <c r="E178" s="288"/>
      <c r="F178" s="288"/>
      <c r="G178" s="289" t="s">
        <v>219</v>
      </c>
      <c r="H178" s="290"/>
      <c r="I178" s="288"/>
      <c r="J178" s="288"/>
      <c r="K178" s="96"/>
      <c r="L178" s="96"/>
      <c r="M178" s="34"/>
      <c r="N178" s="10"/>
      <c r="O178" s="1"/>
      <c r="P178" s="10"/>
      <c r="Q178" s="10"/>
      <c r="R178" s="10"/>
      <c r="S178" s="10"/>
      <c r="T178" s="10"/>
      <c r="U178" s="1"/>
    </row>
    <row x14ac:dyDescent="0.25" r="179" customHeight="1" ht="19.5">
      <c r="A179" s="76"/>
      <c r="B179" s="77"/>
      <c r="C179" s="261" t="s">
        <v>212</v>
      </c>
      <c r="D179" s="262" t="s">
        <v>212</v>
      </c>
      <c r="E179" s="262" t="s">
        <v>220</v>
      </c>
      <c r="F179" s="262" t="s">
        <v>221</v>
      </c>
      <c r="G179" s="264" t="s">
        <v>222</v>
      </c>
      <c r="H179" s="264" t="s">
        <v>223</v>
      </c>
      <c r="I179" s="262"/>
      <c r="J179" s="262" t="s">
        <v>224</v>
      </c>
      <c r="K179" s="96"/>
      <c r="L179" s="96"/>
      <c r="M179" s="10"/>
      <c r="N179" s="10"/>
      <c r="O179" s="1"/>
      <c r="P179" s="10"/>
      <c r="Q179" s="10"/>
      <c r="R179" s="10"/>
      <c r="S179" s="10"/>
      <c r="T179" s="10"/>
      <c r="U179" s="1"/>
    </row>
    <row x14ac:dyDescent="0.25" r="180" customHeight="1" ht="19.5">
      <c r="A180" s="76"/>
      <c r="B180" s="77"/>
      <c r="C180" s="266"/>
      <c r="D180" s="267"/>
      <c r="E180" s="267"/>
      <c r="F180" s="267"/>
      <c r="G180" s="269" t="s">
        <v>225</v>
      </c>
      <c r="H180" s="291" t="s">
        <v>226</v>
      </c>
      <c r="I180" s="267"/>
      <c r="J180" s="267"/>
      <c r="K180" s="96"/>
      <c r="L180" s="96"/>
      <c r="M180" s="10"/>
      <c r="N180" s="10"/>
      <c r="O180" s="1"/>
      <c r="P180" s="10"/>
      <c r="Q180" s="10"/>
      <c r="R180" s="10"/>
      <c r="S180" s="10"/>
      <c r="T180" s="10"/>
      <c r="U180" s="1"/>
    </row>
    <row x14ac:dyDescent="0.25" r="181" customHeight="1" ht="19.5">
      <c r="A181" s="76"/>
      <c r="B181" s="77"/>
      <c r="C181" s="272"/>
      <c r="D181" s="273"/>
      <c r="E181" s="273"/>
      <c r="F181" s="273"/>
      <c r="G181" s="282" t="s">
        <v>227</v>
      </c>
      <c r="H181" s="292"/>
      <c r="I181" s="273"/>
      <c r="J181" s="273"/>
      <c r="K181" s="96"/>
      <c r="L181" s="96"/>
      <c r="M181" s="10"/>
      <c r="N181" s="10"/>
      <c r="O181" s="1"/>
      <c r="P181" s="10"/>
      <c r="Q181" s="10"/>
      <c r="R181" s="10"/>
      <c r="S181" s="10"/>
      <c r="T181" s="10"/>
      <c r="U181" s="1"/>
    </row>
    <row x14ac:dyDescent="0.25" r="182" customHeight="1" ht="19.5">
      <c r="A182" s="76"/>
      <c r="B182" s="77"/>
      <c r="C182" s="261">
        <v>25</v>
      </c>
      <c r="D182" s="262" t="s">
        <v>203</v>
      </c>
      <c r="E182" s="263" t="s">
        <v>228</v>
      </c>
      <c r="F182" s="293" t="s">
        <v>229</v>
      </c>
      <c r="G182" s="264" t="s">
        <v>230</v>
      </c>
      <c r="H182" s="265" t="s">
        <v>231</v>
      </c>
      <c r="I182" s="262" t="s">
        <v>217</v>
      </c>
      <c r="J182" s="262" t="s">
        <v>232</v>
      </c>
      <c r="K182" s="96"/>
      <c r="L182" s="96"/>
      <c r="M182" s="10"/>
      <c r="N182" s="10"/>
      <c r="O182" s="1"/>
      <c r="P182" s="10"/>
      <c r="Q182" s="10"/>
      <c r="R182" s="10"/>
      <c r="S182" s="10"/>
      <c r="T182" s="10"/>
      <c r="U182" s="1"/>
    </row>
    <row x14ac:dyDescent="0.25" r="183" customHeight="1" ht="19.5">
      <c r="A183" s="76"/>
      <c r="B183" s="77"/>
      <c r="C183" s="266"/>
      <c r="D183" s="267"/>
      <c r="E183" s="268"/>
      <c r="F183" s="294"/>
      <c r="G183" s="269" t="s">
        <v>233</v>
      </c>
      <c r="H183" s="270"/>
      <c r="I183" s="267"/>
      <c r="J183" s="267"/>
      <c r="K183" s="96"/>
      <c r="L183" s="96"/>
      <c r="M183" s="10"/>
      <c r="N183" s="10"/>
      <c r="O183" s="19"/>
      <c r="P183" s="10"/>
      <c r="Q183" s="10"/>
      <c r="R183" s="10"/>
      <c r="S183" s="10"/>
      <c r="T183" s="10"/>
      <c r="U183" s="1"/>
    </row>
    <row x14ac:dyDescent="0.25" r="184" customHeight="1" ht="19.5">
      <c r="A184" s="76"/>
      <c r="B184" s="77"/>
      <c r="C184" s="272"/>
      <c r="D184" s="273"/>
      <c r="E184" s="274"/>
      <c r="F184" s="295"/>
      <c r="G184" s="282" t="s">
        <v>227</v>
      </c>
      <c r="H184" s="276"/>
      <c r="I184" s="273"/>
      <c r="J184" s="273"/>
      <c r="K184" s="96"/>
      <c r="L184" s="96"/>
      <c r="M184" s="10"/>
      <c r="N184" s="10"/>
      <c r="O184" s="1"/>
      <c r="P184" s="10"/>
      <c r="Q184" s="10"/>
      <c r="R184" s="10"/>
      <c r="S184" s="10"/>
      <c r="T184" s="10"/>
      <c r="U184" s="1"/>
    </row>
    <row x14ac:dyDescent="0.25" r="185" customHeight="1" ht="19.5">
      <c r="A185" s="76"/>
      <c r="B185" s="77"/>
      <c r="C185" s="261">
        <v>25</v>
      </c>
      <c r="D185" s="262" t="s">
        <v>234</v>
      </c>
      <c r="E185" s="263" t="s">
        <v>235</v>
      </c>
      <c r="F185" s="262" t="s">
        <v>236</v>
      </c>
      <c r="G185" s="264" t="s">
        <v>237</v>
      </c>
      <c r="H185" s="279" t="s">
        <v>238</v>
      </c>
      <c r="I185" s="262" t="s">
        <v>217</v>
      </c>
      <c r="J185" s="262" t="s">
        <v>232</v>
      </c>
      <c r="K185" s="96"/>
      <c r="L185" s="96"/>
      <c r="M185" s="10"/>
      <c r="N185" s="10"/>
      <c r="O185" s="1"/>
      <c r="P185" s="10"/>
      <c r="Q185" s="10"/>
      <c r="R185" s="10"/>
      <c r="S185" s="10"/>
      <c r="T185" s="10"/>
      <c r="U185" s="1"/>
    </row>
    <row x14ac:dyDescent="0.25" r="186" customHeight="1" ht="19.5">
      <c r="A186" s="76"/>
      <c r="B186" s="77"/>
      <c r="C186" s="266"/>
      <c r="D186" s="267"/>
      <c r="E186" s="268"/>
      <c r="F186" s="267"/>
      <c r="G186" s="269" t="s">
        <v>239</v>
      </c>
      <c r="H186" s="269"/>
      <c r="I186" s="267"/>
      <c r="J186" s="267"/>
      <c r="K186" s="96"/>
      <c r="L186" s="96"/>
      <c r="M186" s="10"/>
      <c r="N186" s="10"/>
      <c r="O186" s="1"/>
      <c r="P186" s="10"/>
      <c r="Q186" s="10"/>
      <c r="R186" s="10"/>
      <c r="S186" s="10"/>
      <c r="T186" s="10"/>
      <c r="U186" s="1"/>
    </row>
    <row x14ac:dyDescent="0.25" r="187" customHeight="1" ht="19.5">
      <c r="A187" s="76"/>
      <c r="B187" s="77"/>
      <c r="C187" s="272"/>
      <c r="D187" s="273"/>
      <c r="E187" s="274"/>
      <c r="F187" s="273"/>
      <c r="G187" s="282" t="s">
        <v>240</v>
      </c>
      <c r="H187" s="282"/>
      <c r="I187" s="273"/>
      <c r="J187" s="273"/>
      <c r="K187" s="96"/>
      <c r="L187" s="96"/>
      <c r="M187" s="34"/>
      <c r="N187" s="10"/>
      <c r="O187" s="1"/>
      <c r="P187" s="10"/>
      <c r="Q187" s="10"/>
      <c r="R187" s="10"/>
      <c r="S187" s="10"/>
      <c r="T187" s="10"/>
      <c r="U187" s="1"/>
    </row>
    <row x14ac:dyDescent="0.25" r="188" customHeight="1" ht="19.5">
      <c r="A188" s="76"/>
      <c r="B188" s="77"/>
      <c r="C188" s="261">
        <v>29</v>
      </c>
      <c r="D188" s="262" t="s">
        <v>241</v>
      </c>
      <c r="E188" s="262" t="s">
        <v>242</v>
      </c>
      <c r="F188" s="262" t="s">
        <v>243</v>
      </c>
      <c r="G188" s="296" t="s">
        <v>244</v>
      </c>
      <c r="H188" s="265" t="s">
        <v>245</v>
      </c>
      <c r="I188" s="262" t="s">
        <v>217</v>
      </c>
      <c r="J188" s="262" t="s">
        <v>224</v>
      </c>
      <c r="K188" s="96"/>
      <c r="L188" s="96"/>
      <c r="M188" s="34"/>
      <c r="N188" s="10"/>
      <c r="O188" s="1"/>
      <c r="P188" s="10"/>
      <c r="Q188" s="10"/>
      <c r="R188" s="10"/>
      <c r="S188" s="10"/>
      <c r="T188" s="10"/>
      <c r="U188" s="1"/>
    </row>
    <row x14ac:dyDescent="0.25" r="189" customHeight="1" ht="19.5">
      <c r="A189" s="76"/>
      <c r="B189" s="77"/>
      <c r="C189" s="266"/>
      <c r="D189" s="267"/>
      <c r="E189" s="267"/>
      <c r="F189" s="267"/>
      <c r="G189" s="297" t="s">
        <v>246</v>
      </c>
      <c r="H189" s="270"/>
      <c r="I189" s="267"/>
      <c r="J189" s="267"/>
      <c r="K189" s="96"/>
      <c r="L189" s="96"/>
      <c r="M189" s="34"/>
      <c r="N189" s="10"/>
      <c r="O189" s="1"/>
      <c r="P189" s="10"/>
      <c r="Q189" s="10"/>
      <c r="R189" s="10"/>
      <c r="S189" s="10"/>
      <c r="T189" s="10"/>
      <c r="U189" s="1"/>
    </row>
    <row x14ac:dyDescent="0.25" r="190" customHeight="1" ht="19.5">
      <c r="A190" s="76"/>
      <c r="B190" s="77"/>
      <c r="C190" s="272"/>
      <c r="D190" s="273"/>
      <c r="E190" s="273"/>
      <c r="F190" s="273"/>
      <c r="G190" s="298" t="s">
        <v>247</v>
      </c>
      <c r="H190" s="276"/>
      <c r="I190" s="273"/>
      <c r="J190" s="273"/>
      <c r="K190" s="96"/>
      <c r="L190" s="96"/>
      <c r="M190" s="34"/>
      <c r="N190" s="10"/>
      <c r="O190" s="1"/>
      <c r="P190" s="10"/>
      <c r="Q190" s="10"/>
      <c r="R190" s="10"/>
      <c r="S190" s="10"/>
      <c r="T190" s="10"/>
      <c r="U190" s="1"/>
    </row>
    <row x14ac:dyDescent="0.25" r="191" customHeight="1" ht="19.5">
      <c r="A191" s="76"/>
      <c r="B191" s="77"/>
      <c r="C191" s="261">
        <v>11</v>
      </c>
      <c r="D191" s="262" t="s">
        <v>248</v>
      </c>
      <c r="E191" s="277" t="s">
        <v>249</v>
      </c>
      <c r="F191" s="262" t="s">
        <v>250</v>
      </c>
      <c r="G191" s="264" t="s">
        <v>251</v>
      </c>
      <c r="H191" s="265" t="s">
        <v>252</v>
      </c>
      <c r="I191" s="262" t="s">
        <v>217</v>
      </c>
      <c r="J191" s="262" t="s">
        <v>224</v>
      </c>
      <c r="K191" s="96"/>
      <c r="L191" s="96"/>
      <c r="M191" s="34"/>
      <c r="N191" s="10"/>
      <c r="O191" s="1"/>
      <c r="P191" s="10"/>
      <c r="Q191" s="10"/>
      <c r="R191" s="10"/>
      <c r="S191" s="10"/>
      <c r="T191" s="10"/>
      <c r="U191" s="1"/>
    </row>
    <row x14ac:dyDescent="0.25" r="192" customHeight="1" ht="19.5">
      <c r="A192" s="76"/>
      <c r="B192" s="77"/>
      <c r="C192" s="272"/>
      <c r="D192" s="273"/>
      <c r="E192" s="281"/>
      <c r="F192" s="273"/>
      <c r="G192" s="292" t="s">
        <v>253</v>
      </c>
      <c r="H192" s="276"/>
      <c r="I192" s="273"/>
      <c r="J192" s="273"/>
      <c r="K192" s="96"/>
      <c r="L192" s="96"/>
      <c r="M192" s="34"/>
      <c r="N192" s="10"/>
      <c r="O192" s="1"/>
      <c r="P192" s="10"/>
      <c r="Q192" s="10"/>
      <c r="R192" s="10"/>
      <c r="S192" s="10"/>
      <c r="T192" s="10"/>
      <c r="U192" s="1"/>
    </row>
    <row x14ac:dyDescent="0.25" r="193" customHeight="1" ht="19.5">
      <c r="A193" s="1"/>
      <c r="B193" s="10"/>
      <c r="C193" s="261" t="s">
        <v>254</v>
      </c>
      <c r="D193" s="262" t="s">
        <v>255</v>
      </c>
      <c r="E193" s="262" t="s">
        <v>256</v>
      </c>
      <c r="F193" s="262" t="s">
        <v>257</v>
      </c>
      <c r="G193" s="264" t="s">
        <v>258</v>
      </c>
      <c r="H193" s="265" t="s">
        <v>259</v>
      </c>
      <c r="I193" s="262" t="s">
        <v>217</v>
      </c>
      <c r="J193" s="262" t="s">
        <v>224</v>
      </c>
      <c r="K193" s="96"/>
      <c r="L193" s="96"/>
      <c r="M193" s="10"/>
      <c r="N193" s="10"/>
      <c r="O193" s="1"/>
      <c r="P193" s="10"/>
      <c r="Q193" s="10"/>
      <c r="R193" s="10"/>
      <c r="S193" s="10"/>
      <c r="T193" s="10"/>
      <c r="U193" s="1"/>
    </row>
    <row x14ac:dyDescent="0.25" r="194" customHeight="1" ht="19.5">
      <c r="A194" s="1"/>
      <c r="B194" s="10"/>
      <c r="C194" s="266"/>
      <c r="D194" s="267"/>
      <c r="E194" s="267"/>
      <c r="F194" s="267"/>
      <c r="G194" s="271" t="s">
        <v>260</v>
      </c>
      <c r="H194" s="270"/>
      <c r="I194" s="267"/>
      <c r="J194" s="267"/>
      <c r="K194" s="96"/>
      <c r="L194" s="96"/>
      <c r="M194" s="10"/>
      <c r="N194" s="10"/>
      <c r="O194" s="1"/>
      <c r="P194" s="10"/>
      <c r="Q194" s="10"/>
      <c r="R194" s="10"/>
      <c r="S194" s="10"/>
      <c r="T194" s="10"/>
      <c r="U194" s="1"/>
    </row>
    <row x14ac:dyDescent="0.25" r="195" customHeight="1" ht="19.5">
      <c r="A195" s="1"/>
      <c r="B195" s="10"/>
      <c r="C195" s="272"/>
      <c r="D195" s="273"/>
      <c r="E195" s="273"/>
      <c r="F195" s="273"/>
      <c r="G195" s="275" t="s">
        <v>261</v>
      </c>
      <c r="H195" s="276"/>
      <c r="I195" s="273"/>
      <c r="J195" s="273"/>
      <c r="K195" s="96"/>
      <c r="L195" s="96"/>
      <c r="M195" s="10"/>
      <c r="N195" s="10"/>
      <c r="O195" s="1"/>
      <c r="P195" s="10"/>
      <c r="Q195" s="10"/>
      <c r="R195" s="10"/>
      <c r="S195" s="10"/>
      <c r="T195" s="10"/>
      <c r="U195" s="1"/>
    </row>
    <row x14ac:dyDescent="0.25" r="196" customHeight="1" ht="19.5">
      <c r="A196" s="1"/>
      <c r="B196" s="10"/>
      <c r="C196" s="261" t="s">
        <v>254</v>
      </c>
      <c r="D196" s="262" t="s">
        <v>212</v>
      </c>
      <c r="E196" s="262" t="s">
        <v>262</v>
      </c>
      <c r="F196" s="262" t="s">
        <v>263</v>
      </c>
      <c r="G196" s="264" t="s">
        <v>264</v>
      </c>
      <c r="H196" s="265" t="s">
        <v>238</v>
      </c>
      <c r="I196" s="262" t="s">
        <v>217</v>
      </c>
      <c r="J196" s="262" t="s">
        <v>232</v>
      </c>
      <c r="K196" s="96"/>
      <c r="L196" s="96"/>
      <c r="M196" s="10"/>
      <c r="N196" s="10"/>
      <c r="O196" s="1"/>
      <c r="P196" s="10"/>
      <c r="Q196" s="10"/>
      <c r="R196" s="10"/>
      <c r="S196" s="10"/>
      <c r="T196" s="10"/>
      <c r="U196" s="1"/>
    </row>
    <row x14ac:dyDescent="0.25" r="197" customHeight="1" ht="19.5">
      <c r="A197" s="1"/>
      <c r="B197" s="10"/>
      <c r="C197" s="272"/>
      <c r="D197" s="273"/>
      <c r="E197" s="273"/>
      <c r="F197" s="273"/>
      <c r="G197" s="292" t="s">
        <v>265</v>
      </c>
      <c r="H197" s="276"/>
      <c r="I197" s="273"/>
      <c r="J197" s="273"/>
      <c r="K197" s="96"/>
      <c r="L197" s="96"/>
      <c r="M197" s="10"/>
      <c r="N197" s="10"/>
      <c r="O197" s="1"/>
      <c r="P197" s="10"/>
      <c r="Q197" s="10"/>
      <c r="R197" s="10"/>
      <c r="S197" s="10"/>
      <c r="T197" s="10"/>
      <c r="U197" s="1"/>
    </row>
    <row x14ac:dyDescent="0.25" r="198" customHeight="1" ht="19.5">
      <c r="A198" s="1"/>
      <c r="B198" s="10"/>
      <c r="C198" s="261" t="s">
        <v>266</v>
      </c>
      <c r="D198" s="262" t="s">
        <v>267</v>
      </c>
      <c r="E198" s="262" t="s">
        <v>268</v>
      </c>
      <c r="F198" s="278" t="s">
        <v>269</v>
      </c>
      <c r="G198" s="264" t="s">
        <v>270</v>
      </c>
      <c r="H198" s="265" t="s">
        <v>271</v>
      </c>
      <c r="I198" s="262" t="s">
        <v>217</v>
      </c>
      <c r="J198" s="262" t="s">
        <v>272</v>
      </c>
      <c r="K198" s="96"/>
      <c r="L198" s="96"/>
      <c r="M198" s="10"/>
      <c r="N198" s="10"/>
      <c r="O198" s="1"/>
      <c r="P198" s="10"/>
      <c r="Q198" s="10"/>
      <c r="R198" s="10"/>
      <c r="S198" s="10"/>
      <c r="T198" s="10"/>
      <c r="U198" s="1"/>
    </row>
    <row x14ac:dyDescent="0.25" r="199" customHeight="1" ht="19.5">
      <c r="A199" s="1"/>
      <c r="B199" s="10"/>
      <c r="C199" s="272"/>
      <c r="D199" s="273"/>
      <c r="E199" s="273"/>
      <c r="F199" s="281" t="s">
        <v>273</v>
      </c>
      <c r="G199" s="275" t="s">
        <v>274</v>
      </c>
      <c r="H199" s="276"/>
      <c r="I199" s="273"/>
      <c r="J199" s="273"/>
      <c r="K199" s="96"/>
      <c r="L199" s="96"/>
      <c r="M199" s="10"/>
      <c r="N199" s="10"/>
      <c r="O199" s="1"/>
      <c r="P199" s="10"/>
      <c r="Q199" s="10"/>
      <c r="R199" s="10"/>
      <c r="S199" s="10"/>
      <c r="T199" s="10"/>
      <c r="U199" s="1"/>
    </row>
    <row x14ac:dyDescent="0.25" r="200" customHeight="1" ht="19.5">
      <c r="A200" s="1"/>
      <c r="B200" s="10"/>
      <c r="C200" s="261" t="s">
        <v>275</v>
      </c>
      <c r="D200" s="262" t="s">
        <v>212</v>
      </c>
      <c r="E200" s="263" t="s">
        <v>276</v>
      </c>
      <c r="F200" s="299" t="s">
        <v>277</v>
      </c>
      <c r="G200" s="279" t="s">
        <v>278</v>
      </c>
      <c r="H200" s="264" t="s">
        <v>279</v>
      </c>
      <c r="I200" s="262" t="s">
        <v>217</v>
      </c>
      <c r="J200" s="262" t="s">
        <v>280</v>
      </c>
      <c r="K200" s="96"/>
      <c r="L200" s="96"/>
      <c r="M200" s="10"/>
      <c r="N200" s="10"/>
      <c r="O200" s="1"/>
      <c r="P200" s="10"/>
      <c r="Q200" s="10"/>
      <c r="R200" s="10"/>
      <c r="S200" s="10"/>
      <c r="T200" s="10"/>
      <c r="U200" s="1"/>
    </row>
    <row x14ac:dyDescent="0.25" r="201" customHeight="1" ht="19.5">
      <c r="A201" s="1"/>
      <c r="B201" s="10"/>
      <c r="C201" s="272"/>
      <c r="D201" s="273"/>
      <c r="E201" s="274"/>
      <c r="F201" s="300"/>
      <c r="G201" s="282"/>
      <c r="H201" s="292" t="s">
        <v>281</v>
      </c>
      <c r="I201" s="273"/>
      <c r="J201" s="273"/>
      <c r="K201" s="96"/>
      <c r="L201" s="96"/>
      <c r="M201" s="10"/>
      <c r="N201" s="10"/>
      <c r="O201" s="1"/>
      <c r="P201" s="10"/>
      <c r="Q201" s="10"/>
      <c r="R201" s="10"/>
      <c r="S201" s="10"/>
      <c r="T201" s="10"/>
      <c r="U201" s="1"/>
    </row>
    <row x14ac:dyDescent="0.25" r="202" customHeight="1" ht="19.5">
      <c r="A202" s="1"/>
      <c r="B202" s="10"/>
      <c r="C202" s="261">
        <v>12</v>
      </c>
      <c r="D202" s="262" t="s">
        <v>282</v>
      </c>
      <c r="E202" s="277" t="s">
        <v>283</v>
      </c>
      <c r="F202" s="262" t="s">
        <v>284</v>
      </c>
      <c r="G202" s="264" t="s">
        <v>285</v>
      </c>
      <c r="H202" s="265" t="s">
        <v>286</v>
      </c>
      <c r="I202" s="262"/>
      <c r="J202" s="262"/>
      <c r="K202" s="96"/>
      <c r="L202" s="96"/>
      <c r="M202" s="10"/>
      <c r="N202" s="10"/>
      <c r="O202" s="1"/>
      <c r="P202" s="10"/>
      <c r="Q202" s="10"/>
      <c r="R202" s="10"/>
      <c r="S202" s="10"/>
      <c r="T202" s="10"/>
      <c r="U202" s="1"/>
    </row>
    <row x14ac:dyDescent="0.25" r="203" customHeight="1" ht="19.5">
      <c r="A203" s="1"/>
      <c r="B203" s="10"/>
      <c r="C203" s="266"/>
      <c r="D203" s="267"/>
      <c r="E203" s="280"/>
      <c r="F203" s="267"/>
      <c r="G203" s="291" t="s">
        <v>287</v>
      </c>
      <c r="H203" s="270"/>
      <c r="I203" s="267"/>
      <c r="J203" s="267"/>
      <c r="K203" s="96"/>
      <c r="L203" s="96"/>
      <c r="M203" s="10"/>
      <c r="N203" s="10"/>
      <c r="O203" s="1"/>
      <c r="P203" s="10"/>
      <c r="Q203" s="10"/>
      <c r="R203" s="10"/>
      <c r="S203" s="10"/>
      <c r="T203" s="10"/>
      <c r="U203" s="1"/>
    </row>
    <row x14ac:dyDescent="0.25" r="204" customHeight="1" ht="19.5">
      <c r="A204" s="1"/>
      <c r="B204" s="10"/>
      <c r="C204" s="272"/>
      <c r="D204" s="273"/>
      <c r="E204" s="281"/>
      <c r="F204" s="273"/>
      <c r="G204" s="275" t="s">
        <v>288</v>
      </c>
      <c r="H204" s="276"/>
      <c r="I204" s="273"/>
      <c r="J204" s="273"/>
      <c r="K204" s="96"/>
      <c r="L204" s="96"/>
      <c r="M204" s="10"/>
      <c r="N204" s="10"/>
      <c r="O204" s="1"/>
      <c r="P204" s="10"/>
      <c r="Q204" s="10"/>
      <c r="R204" s="10"/>
      <c r="S204" s="10"/>
      <c r="T204" s="10"/>
      <c r="U204" s="1"/>
    </row>
    <row x14ac:dyDescent="0.25" r="205" customHeight="1" ht="19.5">
      <c r="A205" s="1"/>
      <c r="B205" s="10"/>
      <c r="C205" s="261">
        <v>13</v>
      </c>
      <c r="D205" s="262" t="s">
        <v>289</v>
      </c>
      <c r="E205" s="263" t="s">
        <v>290</v>
      </c>
      <c r="F205" s="262" t="s">
        <v>291</v>
      </c>
      <c r="G205" s="264" t="s">
        <v>292</v>
      </c>
      <c r="H205" s="265" t="s">
        <v>293</v>
      </c>
      <c r="I205" s="262"/>
      <c r="J205" s="262"/>
      <c r="K205" s="96"/>
      <c r="L205" s="96"/>
      <c r="M205" s="10"/>
      <c r="N205" s="10"/>
      <c r="O205" s="1"/>
      <c r="P205" s="10"/>
      <c r="Q205" s="10"/>
      <c r="R205" s="10"/>
      <c r="S205" s="10"/>
      <c r="T205" s="10"/>
      <c r="U205" s="1"/>
    </row>
    <row x14ac:dyDescent="0.25" r="206" customHeight="1" ht="19.5">
      <c r="A206" s="1"/>
      <c r="B206" s="10"/>
      <c r="C206" s="266"/>
      <c r="D206" s="267"/>
      <c r="E206" s="268"/>
      <c r="F206" s="267"/>
      <c r="G206" s="271" t="s">
        <v>294</v>
      </c>
      <c r="H206" s="270"/>
      <c r="I206" s="267"/>
      <c r="J206" s="267"/>
      <c r="K206" s="96"/>
      <c r="L206" s="96"/>
      <c r="M206" s="10"/>
      <c r="N206" s="10"/>
      <c r="O206" s="1"/>
      <c r="P206" s="10"/>
      <c r="Q206" s="10"/>
      <c r="R206" s="10"/>
      <c r="S206" s="10"/>
      <c r="T206" s="10"/>
      <c r="U206" s="1"/>
    </row>
    <row x14ac:dyDescent="0.25" r="207" customHeight="1" ht="19.5">
      <c r="A207" s="1"/>
      <c r="B207" s="10"/>
      <c r="C207" s="272"/>
      <c r="D207" s="273"/>
      <c r="E207" s="274"/>
      <c r="F207" s="273"/>
      <c r="G207" s="292" t="s">
        <v>295</v>
      </c>
      <c r="H207" s="276"/>
      <c r="I207" s="273"/>
      <c r="J207" s="273"/>
      <c r="K207" s="96"/>
      <c r="L207" s="96"/>
      <c r="M207" s="10"/>
      <c r="N207" s="10"/>
      <c r="O207" s="1"/>
      <c r="P207" s="10"/>
      <c r="Q207" s="10"/>
      <c r="R207" s="10"/>
      <c r="S207" s="10"/>
      <c r="T207" s="10"/>
      <c r="U207" s="1"/>
    </row>
    <row x14ac:dyDescent="0.25" r="208" customHeight="1" ht="19.5">
      <c r="A208" s="1"/>
      <c r="B208" s="10"/>
      <c r="C208" s="261">
        <v>18</v>
      </c>
      <c r="D208" s="262" t="s">
        <v>234</v>
      </c>
      <c r="E208" s="262" t="s">
        <v>296</v>
      </c>
      <c r="F208" s="262" t="s">
        <v>297</v>
      </c>
      <c r="G208" s="264" t="s">
        <v>298</v>
      </c>
      <c r="H208" s="265" t="s">
        <v>245</v>
      </c>
      <c r="I208" s="262" t="s">
        <v>217</v>
      </c>
      <c r="J208" s="262" t="s">
        <v>299</v>
      </c>
      <c r="K208" s="96"/>
      <c r="L208" s="96"/>
      <c r="M208" s="10"/>
      <c r="N208" s="10"/>
      <c r="O208" s="1"/>
      <c r="P208" s="10"/>
      <c r="Q208" s="10"/>
      <c r="R208" s="10"/>
      <c r="S208" s="10"/>
      <c r="T208" s="10"/>
      <c r="U208" s="1"/>
    </row>
    <row x14ac:dyDescent="0.25" r="209" customHeight="1" ht="19.5">
      <c r="A209" s="1"/>
      <c r="B209" s="10"/>
      <c r="C209" s="272"/>
      <c r="D209" s="273"/>
      <c r="E209" s="273"/>
      <c r="F209" s="273"/>
      <c r="G209" s="292" t="s">
        <v>300</v>
      </c>
      <c r="H209" s="276"/>
      <c r="I209" s="273"/>
      <c r="J209" s="273"/>
      <c r="K209" s="96"/>
      <c r="L209" s="96"/>
      <c r="M209" s="10"/>
      <c r="N209" s="10"/>
      <c r="O209" s="1"/>
      <c r="P209" s="10"/>
      <c r="Q209" s="10"/>
      <c r="R209" s="10"/>
      <c r="S209" s="10"/>
      <c r="T209" s="10"/>
      <c r="U209" s="1"/>
    </row>
    <row x14ac:dyDescent="0.25" r="210" customHeight="1" ht="19.5">
      <c r="A210" s="1"/>
      <c r="B210" s="10"/>
      <c r="C210" s="261" t="s">
        <v>301</v>
      </c>
      <c r="D210" s="262" t="s">
        <v>203</v>
      </c>
      <c r="E210" s="262" t="s">
        <v>302</v>
      </c>
      <c r="F210" s="262" t="s">
        <v>303</v>
      </c>
      <c r="G210" s="264" t="s">
        <v>304</v>
      </c>
      <c r="H210" s="264" t="s">
        <v>305</v>
      </c>
      <c r="I210" s="262"/>
      <c r="J210" s="262" t="s">
        <v>306</v>
      </c>
      <c r="K210" s="96"/>
      <c r="L210" s="96"/>
      <c r="M210" s="10"/>
      <c r="N210" s="10"/>
      <c r="O210" s="1"/>
      <c r="P210" s="10"/>
      <c r="Q210" s="10"/>
      <c r="R210" s="10"/>
      <c r="S210" s="10"/>
      <c r="T210" s="10"/>
      <c r="U210" s="1"/>
    </row>
    <row x14ac:dyDescent="0.25" r="211" customHeight="1" ht="19.5">
      <c r="A211" s="1"/>
      <c r="B211" s="10"/>
      <c r="C211" s="266"/>
      <c r="D211" s="267"/>
      <c r="E211" s="267"/>
      <c r="F211" s="267"/>
      <c r="G211" s="271" t="s">
        <v>307</v>
      </c>
      <c r="H211" s="269" t="s">
        <v>308</v>
      </c>
      <c r="I211" s="267"/>
      <c r="J211" s="267"/>
      <c r="K211" s="96"/>
      <c r="L211" s="96"/>
      <c r="M211" s="10"/>
      <c r="N211" s="10"/>
      <c r="O211" s="1"/>
      <c r="P211" s="10"/>
      <c r="Q211" s="10"/>
      <c r="R211" s="10"/>
      <c r="S211" s="10"/>
      <c r="T211" s="10"/>
      <c r="U211" s="1"/>
    </row>
    <row x14ac:dyDescent="0.25" r="212" customHeight="1" ht="19.5">
      <c r="A212" s="1"/>
      <c r="B212" s="10"/>
      <c r="C212" s="272"/>
      <c r="D212" s="273"/>
      <c r="E212" s="273"/>
      <c r="F212" s="273"/>
      <c r="G212" s="292" t="s">
        <v>309</v>
      </c>
      <c r="H212" s="292" t="s">
        <v>310</v>
      </c>
      <c r="I212" s="273"/>
      <c r="J212" s="273"/>
      <c r="K212" s="96"/>
      <c r="L212" s="96"/>
      <c r="M212" s="10"/>
      <c r="N212" s="10"/>
      <c r="O212" s="1"/>
      <c r="P212" s="10"/>
      <c r="Q212" s="10"/>
      <c r="R212" s="10"/>
      <c r="S212" s="10"/>
      <c r="T212" s="10"/>
      <c r="U212" s="1"/>
    </row>
    <row x14ac:dyDescent="0.25" r="213" customHeight="1" ht="19.5">
      <c r="A213" s="1"/>
      <c r="B213" s="10"/>
      <c r="C213" s="301" t="s">
        <v>212</v>
      </c>
      <c r="D213" s="302" t="s">
        <v>311</v>
      </c>
      <c r="E213" s="303" t="s">
        <v>312</v>
      </c>
      <c r="F213" s="303" t="s">
        <v>313</v>
      </c>
      <c r="G213" s="304" t="s">
        <v>314</v>
      </c>
      <c r="H213" s="305" t="s">
        <v>315</v>
      </c>
      <c r="I213" s="303" t="s">
        <v>217</v>
      </c>
      <c r="J213" s="303" t="s">
        <v>316</v>
      </c>
      <c r="K213" s="96"/>
      <c r="L213" s="96"/>
      <c r="M213" s="10"/>
      <c r="N213" s="10"/>
      <c r="O213" s="1"/>
      <c r="P213" s="10"/>
      <c r="Q213" s="10"/>
      <c r="R213" s="10"/>
      <c r="S213" s="10"/>
      <c r="T213" s="10"/>
      <c r="U213" s="1"/>
    </row>
    <row x14ac:dyDescent="0.25" r="214" customHeight="1" ht="19.5">
      <c r="A214" s="1"/>
      <c r="B214" s="10"/>
      <c r="C214" s="306" t="s">
        <v>212</v>
      </c>
      <c r="D214" s="307" t="s">
        <v>317</v>
      </c>
      <c r="E214" s="307" t="s">
        <v>318</v>
      </c>
      <c r="F214" s="308" t="s">
        <v>319</v>
      </c>
      <c r="G214" s="309" t="s">
        <v>320</v>
      </c>
      <c r="H214" s="310" t="s">
        <v>321</v>
      </c>
      <c r="I214" s="308" t="s">
        <v>217</v>
      </c>
      <c r="J214" s="308" t="s">
        <v>322</v>
      </c>
      <c r="K214" s="96"/>
      <c r="L214" s="96"/>
      <c r="M214" s="10"/>
      <c r="N214" s="10"/>
      <c r="O214" s="1"/>
      <c r="P214" s="10"/>
      <c r="Q214" s="10"/>
      <c r="R214" s="10"/>
      <c r="S214" s="10"/>
      <c r="T214" s="10"/>
      <c r="U214" s="1"/>
    </row>
    <row x14ac:dyDescent="0.25" r="215" customHeight="1" ht="19.5">
      <c r="A215" s="1"/>
      <c r="B215" s="10"/>
      <c r="C215" s="311"/>
      <c r="D215" s="312"/>
      <c r="E215" s="312"/>
      <c r="F215" s="313"/>
      <c r="G215" s="314" t="s">
        <v>323</v>
      </c>
      <c r="H215" s="315"/>
      <c r="I215" s="313"/>
      <c r="J215" s="313"/>
      <c r="K215" s="10"/>
      <c r="L215" s="10"/>
      <c r="M215" s="10"/>
      <c r="N215" s="10"/>
      <c r="O215" s="1"/>
      <c r="P215" s="10"/>
      <c r="Q215" s="10"/>
      <c r="R215" s="10"/>
      <c r="S215" s="10"/>
      <c r="T215" s="10"/>
      <c r="U215" s="1"/>
    </row>
    <row x14ac:dyDescent="0.25" r="216" customHeight="1" ht="19.5">
      <c r="A216" s="1"/>
      <c r="B216" s="10"/>
      <c r="C216" s="316"/>
      <c r="D216" s="317"/>
      <c r="E216" s="317"/>
      <c r="F216" s="318"/>
      <c r="G216" s="319" t="s">
        <v>324</v>
      </c>
      <c r="H216" s="320"/>
      <c r="I216" s="318"/>
      <c r="J216" s="318"/>
      <c r="K216" s="10"/>
      <c r="L216" s="10"/>
      <c r="M216" s="10"/>
      <c r="N216" s="10"/>
      <c r="O216" s="1"/>
      <c r="P216" s="10"/>
      <c r="Q216" s="10"/>
      <c r="R216" s="10"/>
      <c r="S216" s="10"/>
      <c r="T216" s="10"/>
      <c r="U216" s="1"/>
    </row>
    <row x14ac:dyDescent="0.25" r="217" customHeight="1" ht="19.5">
      <c r="A217" s="1"/>
      <c r="B217" s="10"/>
      <c r="C217" s="321" t="s">
        <v>212</v>
      </c>
      <c r="D217" s="302" t="s">
        <v>267</v>
      </c>
      <c r="E217" s="303" t="s">
        <v>325</v>
      </c>
      <c r="F217" s="322" t="s">
        <v>326</v>
      </c>
      <c r="G217" s="304" t="s">
        <v>327</v>
      </c>
      <c r="H217" s="304" t="s">
        <v>328</v>
      </c>
      <c r="I217" s="323" t="s">
        <v>217</v>
      </c>
      <c r="J217" s="303" t="s">
        <v>329</v>
      </c>
      <c r="K217" s="10"/>
      <c r="L217" s="10"/>
      <c r="M217" s="10"/>
      <c r="N217" s="10"/>
      <c r="O217" s="1"/>
      <c r="P217" s="10"/>
      <c r="Q217" s="10"/>
      <c r="R217" s="10"/>
      <c r="S217" s="10"/>
      <c r="T217" s="10"/>
      <c r="U217" s="1"/>
    </row>
    <row x14ac:dyDescent="0.25" r="218" customHeight="1" ht="19.5">
      <c r="A218" s="1"/>
      <c r="B218" s="10"/>
      <c r="C218" s="324" t="s">
        <v>330</v>
      </c>
      <c r="D218" s="325" t="s">
        <v>282</v>
      </c>
      <c r="E218" s="326" t="s">
        <v>331</v>
      </c>
      <c r="F218" s="326" t="s">
        <v>332</v>
      </c>
      <c r="G218" s="327" t="s">
        <v>333</v>
      </c>
      <c r="H218" s="327" t="s">
        <v>334</v>
      </c>
      <c r="I218" s="326" t="s">
        <v>217</v>
      </c>
      <c r="J218" s="326" t="s">
        <v>306</v>
      </c>
      <c r="K218" s="10"/>
      <c r="L218" s="10"/>
      <c r="M218" s="10"/>
      <c r="N218" s="10"/>
      <c r="O218" s="1"/>
      <c r="P218" s="10"/>
      <c r="Q218" s="10"/>
      <c r="R218" s="10"/>
      <c r="S218" s="10"/>
      <c r="T218" s="10"/>
      <c r="U218" s="1"/>
    </row>
    <row x14ac:dyDescent="0.25" r="219" customHeight="1" ht="19.5">
      <c r="A219" s="1"/>
      <c r="B219" s="10"/>
      <c r="C219" s="328"/>
      <c r="D219" s="329"/>
      <c r="E219" s="330"/>
      <c r="F219" s="330"/>
      <c r="G219" s="331" t="s">
        <v>335</v>
      </c>
      <c r="H219" s="332" t="s">
        <v>336</v>
      </c>
      <c r="I219" s="330"/>
      <c r="J219" s="330"/>
      <c r="K219" s="10"/>
      <c r="L219" s="10"/>
      <c r="M219" s="10"/>
      <c r="N219" s="10"/>
      <c r="O219" s="1"/>
      <c r="P219" s="10"/>
      <c r="Q219" s="10"/>
      <c r="R219" s="10"/>
      <c r="S219" s="10"/>
      <c r="T219" s="10"/>
      <c r="U219" s="1"/>
    </row>
    <row x14ac:dyDescent="0.25" r="220" customHeight="1" ht="19.5">
      <c r="A220" s="1"/>
      <c r="B220" s="10"/>
      <c r="C220" s="333"/>
      <c r="D220" s="334"/>
      <c r="E220" s="335"/>
      <c r="F220" s="335"/>
      <c r="G220" s="336"/>
      <c r="H220" s="337" t="s">
        <v>337</v>
      </c>
      <c r="I220" s="335"/>
      <c r="J220" s="335"/>
      <c r="K220" s="10"/>
      <c r="L220" s="10"/>
      <c r="M220" s="10"/>
      <c r="N220" s="10"/>
      <c r="O220" s="1"/>
      <c r="P220" s="10"/>
      <c r="Q220" s="10"/>
      <c r="R220" s="10"/>
      <c r="S220" s="10"/>
      <c r="T220" s="10"/>
      <c r="U220" s="1"/>
    </row>
    <row x14ac:dyDescent="0.25" r="221" customHeight="1" ht="16.5">
      <c r="A221" s="1"/>
      <c r="B221" s="10"/>
      <c r="C221" s="338" t="s">
        <v>338</v>
      </c>
      <c r="D221" s="339" t="s">
        <v>267</v>
      </c>
      <c r="E221" s="339" t="s">
        <v>339</v>
      </c>
      <c r="F221" s="339" t="s">
        <v>340</v>
      </c>
      <c r="G221" s="340" t="s">
        <v>341</v>
      </c>
      <c r="H221" s="340" t="s">
        <v>342</v>
      </c>
      <c r="I221" s="339" t="s">
        <v>217</v>
      </c>
      <c r="J221" s="339" t="s">
        <v>343</v>
      </c>
      <c r="K221" s="10"/>
      <c r="L221" s="10"/>
      <c r="M221" s="10"/>
      <c r="N221" s="10"/>
      <c r="O221" s="1"/>
      <c r="P221" s="10"/>
      <c r="Q221" s="10"/>
      <c r="R221" s="10"/>
      <c r="S221" s="10"/>
      <c r="T221" s="10"/>
      <c r="U221" s="1"/>
    </row>
    <row x14ac:dyDescent="0.25" r="222" customHeight="1" ht="19.5">
      <c r="A222" s="1"/>
      <c r="B222" s="10"/>
      <c r="C222" s="338" t="s">
        <v>344</v>
      </c>
      <c r="D222" s="339" t="s">
        <v>267</v>
      </c>
      <c r="E222" s="339" t="s">
        <v>345</v>
      </c>
      <c r="F222" s="339" t="s">
        <v>346</v>
      </c>
      <c r="G222" s="340" t="s">
        <v>347</v>
      </c>
      <c r="H222" s="340" t="s">
        <v>238</v>
      </c>
      <c r="I222" s="339" t="s">
        <v>217</v>
      </c>
      <c r="J222" s="339" t="s">
        <v>306</v>
      </c>
      <c r="K222" s="10"/>
      <c r="L222" s="10"/>
      <c r="M222" s="10"/>
      <c r="N222" s="10"/>
      <c r="O222" s="1"/>
      <c r="P222" s="10"/>
      <c r="Q222" s="10"/>
      <c r="R222" s="10"/>
      <c r="S222" s="10"/>
      <c r="T222" s="10"/>
      <c r="U222" s="1"/>
    </row>
    <row x14ac:dyDescent="0.25" r="223" customHeight="1" ht="19.5">
      <c r="A223" s="1"/>
      <c r="B223" s="10"/>
      <c r="C223" s="338" t="s">
        <v>348</v>
      </c>
      <c r="D223" s="339" t="s">
        <v>349</v>
      </c>
      <c r="E223" s="339" t="s">
        <v>350</v>
      </c>
      <c r="F223" s="339" t="s">
        <v>351</v>
      </c>
      <c r="G223" s="341" t="s">
        <v>352</v>
      </c>
      <c r="H223" s="340" t="s">
        <v>353</v>
      </c>
      <c r="I223" s="339" t="s">
        <v>217</v>
      </c>
      <c r="J223" s="339" t="s">
        <v>354</v>
      </c>
      <c r="K223" s="10"/>
      <c r="L223" s="10"/>
      <c r="M223" s="10"/>
      <c r="N223" s="10"/>
      <c r="O223" s="1"/>
      <c r="P223" s="10"/>
      <c r="Q223" s="10"/>
      <c r="R223" s="10"/>
      <c r="S223" s="10"/>
      <c r="T223" s="10"/>
      <c r="U223" s="1"/>
    </row>
    <row x14ac:dyDescent="0.25" r="224" customHeight="1" ht="19.5">
      <c r="A224" s="1"/>
      <c r="B224" s="10"/>
      <c r="C224" s="342"/>
      <c r="D224" s="343"/>
      <c r="E224" s="339"/>
      <c r="F224" s="344"/>
      <c r="G224" s="341"/>
      <c r="H224" s="341"/>
      <c r="I224" s="345"/>
      <c r="J224" s="339"/>
      <c r="K224" s="10"/>
      <c r="L224" s="10"/>
      <c r="M224" s="10"/>
      <c r="N224" s="10"/>
      <c r="O224" s="1"/>
      <c r="P224" s="10"/>
      <c r="Q224" s="10"/>
      <c r="R224" s="10"/>
      <c r="S224" s="10"/>
      <c r="T224" s="10"/>
      <c r="U224" s="1"/>
    </row>
    <row x14ac:dyDescent="0.25" r="225" customHeight="1" ht="19.5">
      <c r="A225" s="1"/>
      <c r="B225" s="10"/>
      <c r="C225" s="342"/>
      <c r="D225" s="343"/>
      <c r="E225" s="339"/>
      <c r="F225" s="344"/>
      <c r="G225" s="341"/>
      <c r="H225" s="341"/>
      <c r="I225" s="345"/>
      <c r="J225" s="339"/>
      <c r="K225" s="10"/>
      <c r="L225" s="10"/>
      <c r="M225" s="10"/>
      <c r="N225" s="10"/>
      <c r="O225" s="1"/>
      <c r="P225" s="10"/>
      <c r="Q225" s="10"/>
      <c r="R225" s="10"/>
      <c r="S225" s="10"/>
      <c r="T225" s="10"/>
      <c r="U225" s="1"/>
    </row>
    <row x14ac:dyDescent="0.25" r="226" customHeight="1" ht="19.5">
      <c r="A226" s="1"/>
      <c r="B226" s="10"/>
      <c r="C226" s="342"/>
      <c r="D226" s="339"/>
      <c r="E226" s="339"/>
      <c r="F226" s="344"/>
      <c r="G226" s="341"/>
      <c r="H226" s="341"/>
      <c r="I226" s="345"/>
      <c r="J226" s="339"/>
      <c r="K226" s="10"/>
      <c r="L226" s="10"/>
      <c r="M226" s="10"/>
      <c r="N226" s="10"/>
      <c r="O226" s="1"/>
      <c r="P226" s="10"/>
      <c r="Q226" s="10"/>
      <c r="R226" s="10"/>
      <c r="S226" s="10"/>
      <c r="T226" s="10"/>
      <c r="U226" s="1"/>
    </row>
    <row x14ac:dyDescent="0.25" r="227" customHeight="1" ht="19.5">
      <c r="A227" s="1"/>
      <c r="B227" s="10"/>
      <c r="C227" s="338"/>
      <c r="D227" s="339"/>
      <c r="E227" s="343"/>
      <c r="F227" s="346"/>
      <c r="G227" s="341"/>
      <c r="H227" s="340"/>
      <c r="I227" s="345"/>
      <c r="J227" s="339"/>
      <c r="K227" s="10"/>
      <c r="L227" s="10"/>
      <c r="M227" s="10"/>
      <c r="N227" s="10"/>
      <c r="O227" s="1"/>
      <c r="P227" s="10"/>
      <c r="Q227" s="10"/>
      <c r="R227" s="10"/>
      <c r="S227" s="10"/>
      <c r="T227" s="10"/>
      <c r="U227" s="1"/>
    </row>
    <row x14ac:dyDescent="0.25" r="228" customHeight="1" ht="19.5">
      <c r="A228" s="1"/>
      <c r="B228" s="10"/>
      <c r="C228" s="338"/>
      <c r="D228" s="339"/>
      <c r="E228" s="343"/>
      <c r="F228" s="346"/>
      <c r="G228" s="341"/>
      <c r="H228" s="340"/>
      <c r="I228" s="345"/>
      <c r="J228" s="339"/>
      <c r="K228" s="10"/>
      <c r="L228" s="10"/>
      <c r="M228" s="10"/>
      <c r="N228" s="10"/>
      <c r="O228" s="1"/>
      <c r="P228" s="10"/>
      <c r="Q228" s="10"/>
      <c r="R228" s="10"/>
      <c r="S228" s="10"/>
      <c r="T228" s="10"/>
      <c r="U228" s="1"/>
    </row>
    <row x14ac:dyDescent="0.25" r="229" customHeight="1" ht="19.5">
      <c r="A229" s="1"/>
      <c r="B229" s="10"/>
      <c r="C229" s="347"/>
      <c r="D229" s="348"/>
      <c r="E229" s="348"/>
      <c r="F229" s="348"/>
      <c r="G229" s="349"/>
      <c r="H229" s="350"/>
      <c r="I229" s="348"/>
      <c r="J229" s="348"/>
      <c r="K229" s="10"/>
      <c r="L229" s="10"/>
      <c r="M229" s="10"/>
      <c r="N229" s="10"/>
      <c r="O229" s="1"/>
      <c r="P229" s="10"/>
      <c r="Q229" s="10"/>
      <c r="R229" s="10"/>
      <c r="S229" s="10"/>
      <c r="T229" s="10"/>
      <c r="U229" s="1"/>
    </row>
    <row x14ac:dyDescent="0.25" r="230" customHeight="1" ht="19.5">
      <c r="A230" s="1"/>
      <c r="B230" s="10"/>
      <c r="C230" s="351"/>
      <c r="D230" s="352"/>
      <c r="E230" s="352"/>
      <c r="F230" s="352"/>
      <c r="G230" s="353"/>
      <c r="H230" s="354"/>
      <c r="I230" s="352"/>
      <c r="J230" s="352"/>
      <c r="K230" s="10"/>
      <c r="L230" s="10"/>
      <c r="M230" s="10"/>
      <c r="N230" s="10"/>
      <c r="O230" s="1"/>
      <c r="P230" s="10"/>
      <c r="Q230" s="10"/>
      <c r="R230" s="10"/>
      <c r="S230" s="10"/>
      <c r="T230" s="10"/>
      <c r="U230" s="1"/>
    </row>
    <row x14ac:dyDescent="0.25" r="231" customHeight="1" ht="19.5">
      <c r="A231" s="1"/>
      <c r="B231" s="10"/>
      <c r="C231" s="338"/>
      <c r="D231" s="339"/>
      <c r="E231" s="339"/>
      <c r="F231" s="344"/>
      <c r="G231" s="341"/>
      <c r="H231" s="340"/>
      <c r="I231" s="345"/>
      <c r="J231" s="339"/>
      <c r="K231" s="10"/>
      <c r="L231" s="10"/>
      <c r="M231" s="10"/>
      <c r="N231" s="10"/>
      <c r="O231" s="1"/>
      <c r="P231" s="10"/>
      <c r="Q231" s="10"/>
      <c r="R231" s="10"/>
      <c r="S231" s="10"/>
      <c r="T231" s="10"/>
      <c r="U231" s="1"/>
    </row>
    <row x14ac:dyDescent="0.25" r="232" customHeight="1" ht="19.5">
      <c r="A232" s="1"/>
      <c r="B232" s="10"/>
      <c r="C232" s="338"/>
      <c r="D232" s="339"/>
      <c r="E232" s="339"/>
      <c r="F232" s="344"/>
      <c r="G232" s="341"/>
      <c r="H232" s="340"/>
      <c r="I232" s="339"/>
      <c r="J232" s="339"/>
      <c r="K232" s="10"/>
      <c r="L232" s="10"/>
      <c r="M232" s="10"/>
      <c r="N232" s="10"/>
      <c r="O232" s="1"/>
      <c r="P232" s="10"/>
      <c r="Q232" s="10"/>
      <c r="R232" s="10"/>
      <c r="S232" s="10"/>
      <c r="T232" s="10"/>
      <c r="U232" s="1"/>
    </row>
    <row x14ac:dyDescent="0.25" r="233" customHeight="1" ht="19.5">
      <c r="A233" s="1"/>
      <c r="B233" s="10"/>
      <c r="C233" s="338"/>
      <c r="D233" s="339"/>
      <c r="E233" s="343"/>
      <c r="F233" s="346"/>
      <c r="G233" s="341"/>
      <c r="H233" s="340"/>
      <c r="I233" s="345"/>
      <c r="J233" s="339"/>
      <c r="K233" s="10"/>
      <c r="L233" s="10"/>
      <c r="M233" s="10"/>
      <c r="N233" s="10"/>
      <c r="O233" s="1"/>
      <c r="P233" s="10"/>
      <c r="Q233" s="10"/>
      <c r="R233" s="10"/>
      <c r="S233" s="10"/>
      <c r="T233" s="10"/>
      <c r="U233" s="1"/>
    </row>
    <row x14ac:dyDescent="0.25" r="234" customHeight="1" ht="19.5">
      <c r="A234" s="1"/>
      <c r="B234" s="10"/>
      <c r="C234" s="338"/>
      <c r="D234" s="339"/>
      <c r="E234" s="343"/>
      <c r="F234" s="346"/>
      <c r="G234" s="341"/>
      <c r="H234" s="340"/>
      <c r="I234" s="345"/>
      <c r="J234" s="339"/>
      <c r="K234" s="10"/>
      <c r="L234" s="10"/>
      <c r="M234" s="10"/>
      <c r="N234" s="10"/>
      <c r="O234" s="1"/>
      <c r="P234" s="10"/>
      <c r="Q234" s="10"/>
      <c r="R234" s="10"/>
      <c r="S234" s="10"/>
      <c r="T234" s="10"/>
      <c r="U234" s="1"/>
    </row>
    <row x14ac:dyDescent="0.25" r="235" customHeight="1" ht="19.5">
      <c r="A235" s="1"/>
      <c r="B235" s="10"/>
      <c r="C235" s="338"/>
      <c r="D235" s="339"/>
      <c r="E235" s="339"/>
      <c r="F235" s="339"/>
      <c r="G235" s="341"/>
      <c r="H235" s="340"/>
      <c r="I235" s="339"/>
      <c r="J235" s="339"/>
      <c r="K235" s="10"/>
      <c r="L235" s="10"/>
      <c r="M235" s="10"/>
      <c r="N235" s="10"/>
      <c r="O235" s="1"/>
      <c r="P235" s="10"/>
      <c r="Q235" s="10"/>
      <c r="R235" s="10"/>
      <c r="S235" s="10"/>
      <c r="T235" s="10"/>
      <c r="U235" s="1"/>
    </row>
    <row x14ac:dyDescent="0.25" r="236" customHeight="1" ht="19.5">
      <c r="A236" s="1"/>
      <c r="B236" s="10"/>
      <c r="C236" s="338"/>
      <c r="D236" s="339"/>
      <c r="E236" s="339"/>
      <c r="F236" s="339"/>
      <c r="G236" s="341"/>
      <c r="H236" s="340"/>
      <c r="I236" s="339"/>
      <c r="J236" s="339"/>
      <c r="K236" s="10"/>
      <c r="L236" s="10"/>
      <c r="M236" s="10"/>
      <c r="N236" s="10"/>
      <c r="O236" s="1"/>
      <c r="P236" s="10"/>
      <c r="Q236" s="10"/>
      <c r="R236" s="10"/>
      <c r="S236" s="10"/>
      <c r="T236" s="10"/>
      <c r="U236" s="1"/>
    </row>
    <row x14ac:dyDescent="0.25" r="237" customHeight="1" ht="19.5">
      <c r="A237" s="1"/>
      <c r="B237" s="10"/>
      <c r="C237" s="338"/>
      <c r="D237" s="339"/>
      <c r="E237" s="339"/>
      <c r="F237" s="339"/>
      <c r="G237" s="341"/>
      <c r="H237" s="341"/>
      <c r="I237" s="339"/>
      <c r="J237" s="339"/>
      <c r="K237" s="10"/>
      <c r="L237" s="10"/>
      <c r="M237" s="10"/>
      <c r="N237" s="10"/>
      <c r="O237" s="1"/>
      <c r="P237" s="10"/>
      <c r="Q237" s="10"/>
      <c r="R237" s="10"/>
      <c r="S237" s="10"/>
      <c r="T237" s="10"/>
      <c r="U237" s="1"/>
    </row>
    <row x14ac:dyDescent="0.25" r="238" customHeight="1" ht="19.5">
      <c r="A238" s="1"/>
      <c r="B238" s="10"/>
      <c r="C238" s="338"/>
      <c r="D238" s="343"/>
      <c r="E238" s="339"/>
      <c r="F238" s="343"/>
      <c r="G238" s="341"/>
      <c r="H238" s="340"/>
      <c r="I238" s="339"/>
      <c r="J238" s="339"/>
      <c r="K238" s="10"/>
      <c r="L238" s="10"/>
      <c r="M238" s="10"/>
      <c r="N238" s="10"/>
      <c r="O238" s="1"/>
      <c r="P238" s="10"/>
      <c r="Q238" s="10"/>
      <c r="R238" s="10"/>
      <c r="S238" s="10"/>
      <c r="T238" s="10"/>
      <c r="U238" s="1"/>
    </row>
    <row x14ac:dyDescent="0.25" r="239" customHeight="1" ht="19.5">
      <c r="A239" s="1"/>
      <c r="B239" s="10"/>
      <c r="C239" s="338"/>
      <c r="D239" s="339"/>
      <c r="E239" s="339"/>
      <c r="F239" s="339"/>
      <c r="G239" s="340"/>
      <c r="H239" s="340"/>
      <c r="I239" s="339"/>
      <c r="J239" s="339"/>
      <c r="K239" s="10"/>
      <c r="L239" s="10"/>
      <c r="M239" s="10"/>
      <c r="N239" s="10"/>
      <c r="O239" s="1"/>
      <c r="P239" s="10"/>
      <c r="Q239" s="10"/>
      <c r="R239" s="10"/>
      <c r="S239" s="10"/>
      <c r="T239" s="10"/>
      <c r="U239" s="1"/>
    </row>
    <row x14ac:dyDescent="0.25" r="240" customHeight="1" ht="19.5">
      <c r="A240" s="1"/>
      <c r="B240" s="10"/>
      <c r="C240" s="338"/>
      <c r="D240" s="339"/>
      <c r="E240" s="339"/>
      <c r="F240" s="339"/>
      <c r="G240" s="340"/>
      <c r="H240" s="340"/>
      <c r="I240" s="339"/>
      <c r="J240" s="339"/>
      <c r="K240" s="10"/>
      <c r="L240" s="10"/>
      <c r="M240" s="10"/>
      <c r="N240" s="10"/>
      <c r="O240" s="1"/>
      <c r="P240" s="10"/>
      <c r="Q240" s="10"/>
      <c r="R240" s="10"/>
      <c r="S240" s="10"/>
      <c r="T240" s="10"/>
      <c r="U240" s="1"/>
    </row>
    <row x14ac:dyDescent="0.25" r="241" customHeight="1" ht="19.5">
      <c r="A241" s="1"/>
      <c r="B241" s="10"/>
      <c r="C241" s="338"/>
      <c r="D241" s="339"/>
      <c r="E241" s="339"/>
      <c r="F241" s="339"/>
      <c r="G241" s="341"/>
      <c r="H241" s="340"/>
      <c r="I241" s="339"/>
      <c r="J241" s="339"/>
      <c r="K241" s="10"/>
      <c r="L241" s="10"/>
      <c r="M241" s="10"/>
      <c r="N241" s="10"/>
      <c r="O241" s="1"/>
      <c r="P241" s="10"/>
      <c r="Q241" s="10"/>
      <c r="R241" s="10"/>
      <c r="S241" s="10"/>
      <c r="T241" s="10"/>
      <c r="U241" s="1"/>
    </row>
  </sheetData>
  <mergeCells count="185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P13:T13"/>
    <mergeCell ref="C14:D14"/>
    <mergeCell ref="M14:N14"/>
    <mergeCell ref="P15:P16"/>
    <mergeCell ref="Q15:R16"/>
    <mergeCell ref="P18:Q18"/>
    <mergeCell ref="R18:T18"/>
    <mergeCell ref="P21:Q21"/>
    <mergeCell ref="R21:T21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4"/>
    <mergeCell ref="C165:C172"/>
    <mergeCell ref="D165:D172"/>
    <mergeCell ref="E165:E172"/>
    <mergeCell ref="F165:F172"/>
    <mergeCell ref="H165:H172"/>
    <mergeCell ref="I165:I172"/>
    <mergeCell ref="J165:J172"/>
    <mergeCell ref="C173:C176"/>
    <mergeCell ref="D173:D176"/>
    <mergeCell ref="F173:F176"/>
    <mergeCell ref="H173:H176"/>
    <mergeCell ref="I173:I176"/>
    <mergeCell ref="J173:J176"/>
    <mergeCell ref="C177:C178"/>
    <mergeCell ref="D177:D178"/>
    <mergeCell ref="E177:E178"/>
    <mergeCell ref="F177:F178"/>
    <mergeCell ref="H177:H178"/>
    <mergeCell ref="I177:I178"/>
    <mergeCell ref="J177:J178"/>
    <mergeCell ref="C179:C181"/>
    <mergeCell ref="D179:D181"/>
    <mergeCell ref="E179:E181"/>
    <mergeCell ref="F179:F181"/>
    <mergeCell ref="I179:I181"/>
    <mergeCell ref="J179:J181"/>
    <mergeCell ref="C182:C184"/>
    <mergeCell ref="D182:D184"/>
    <mergeCell ref="E182:E184"/>
    <mergeCell ref="F182:F184"/>
    <mergeCell ref="H182:H184"/>
    <mergeCell ref="I182:I184"/>
    <mergeCell ref="J182:J184"/>
    <mergeCell ref="C185:C187"/>
    <mergeCell ref="D185:D187"/>
    <mergeCell ref="E185:E187"/>
    <mergeCell ref="F185:F187"/>
    <mergeCell ref="H185:H187"/>
    <mergeCell ref="I185:I187"/>
    <mergeCell ref="J185:J187"/>
    <mergeCell ref="C188:C190"/>
    <mergeCell ref="D188:D190"/>
    <mergeCell ref="E188:E190"/>
    <mergeCell ref="F188:F190"/>
    <mergeCell ref="H188:H190"/>
    <mergeCell ref="I188:I190"/>
    <mergeCell ref="J188:J190"/>
    <mergeCell ref="C191:C192"/>
    <mergeCell ref="D191:D192"/>
    <mergeCell ref="E191:E192"/>
    <mergeCell ref="F191:F192"/>
    <mergeCell ref="H191:H192"/>
    <mergeCell ref="I191:I192"/>
    <mergeCell ref="J191:J192"/>
    <mergeCell ref="C193:C195"/>
    <mergeCell ref="D193:D195"/>
    <mergeCell ref="E193:E195"/>
    <mergeCell ref="F193:F195"/>
    <mergeCell ref="H193:H195"/>
    <mergeCell ref="I193:I195"/>
    <mergeCell ref="J193:J195"/>
    <mergeCell ref="C196:C197"/>
    <mergeCell ref="D196:D197"/>
    <mergeCell ref="E196:E197"/>
    <mergeCell ref="F196:F197"/>
    <mergeCell ref="H196:H197"/>
    <mergeCell ref="I196:I197"/>
    <mergeCell ref="J196:J197"/>
    <mergeCell ref="C198:C199"/>
    <mergeCell ref="D198:D199"/>
    <mergeCell ref="E198:E199"/>
    <mergeCell ref="H198:H199"/>
    <mergeCell ref="I198:I199"/>
    <mergeCell ref="J198:J199"/>
    <mergeCell ref="C200:C201"/>
    <mergeCell ref="D200:D201"/>
    <mergeCell ref="E200:E201"/>
    <mergeCell ref="F200:F201"/>
    <mergeCell ref="G200:G201"/>
    <mergeCell ref="I200:I201"/>
    <mergeCell ref="J200:J201"/>
    <mergeCell ref="C202:C204"/>
    <mergeCell ref="D202:D204"/>
    <mergeCell ref="E202:E204"/>
    <mergeCell ref="F202:F204"/>
    <mergeCell ref="H202:H204"/>
    <mergeCell ref="I202:I204"/>
    <mergeCell ref="J202:J204"/>
    <mergeCell ref="C205:C207"/>
    <mergeCell ref="D205:D207"/>
    <mergeCell ref="E205:E207"/>
    <mergeCell ref="F205:F207"/>
    <mergeCell ref="H205:H207"/>
    <mergeCell ref="I205:I207"/>
    <mergeCell ref="J205:J207"/>
    <mergeCell ref="C208:C209"/>
    <mergeCell ref="D208:D209"/>
    <mergeCell ref="E208:E209"/>
    <mergeCell ref="F208:F209"/>
    <mergeCell ref="H208:H209"/>
    <mergeCell ref="I208:I209"/>
    <mergeCell ref="J208:J209"/>
    <mergeCell ref="C210:C212"/>
    <mergeCell ref="D210:D212"/>
    <mergeCell ref="E210:E212"/>
    <mergeCell ref="F210:F212"/>
    <mergeCell ref="I210:I212"/>
    <mergeCell ref="J210:J212"/>
    <mergeCell ref="C214:C216"/>
    <mergeCell ref="D214:D216"/>
    <mergeCell ref="E214:E216"/>
    <mergeCell ref="F214:F216"/>
    <mergeCell ref="H214:H216"/>
    <mergeCell ref="I214:I216"/>
    <mergeCell ref="J214:J216"/>
    <mergeCell ref="C218:C220"/>
    <mergeCell ref="D218:D220"/>
    <mergeCell ref="E218:E220"/>
    <mergeCell ref="F218:F220"/>
    <mergeCell ref="I218:I220"/>
    <mergeCell ref="J218:J220"/>
    <mergeCell ref="C229:C230"/>
    <mergeCell ref="D229:D230"/>
    <mergeCell ref="E229:E230"/>
    <mergeCell ref="F229:F230"/>
    <mergeCell ref="H229:H230"/>
    <mergeCell ref="I229:I230"/>
    <mergeCell ref="J229:J23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9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9.005" customWidth="1" bestFit="1"/>
    <col min="10" max="10" style="145" width="9.005" customWidth="1" bestFit="1"/>
    <col min="11" max="11" style="9" width="10.005" customWidth="1" bestFit="1"/>
    <col min="12" max="12" style="9" width="9.576428571428572" customWidth="1" bestFit="1"/>
    <col min="13" max="13" style="144" width="9.147857142857141" customWidth="1" bestFit="1"/>
    <col min="14" max="14" style="144" width="11.147857142857141" customWidth="1" bestFit="1"/>
    <col min="15" max="15" style="7" width="9.005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7" width="14.43357142857143" customWidth="1" bestFit="1"/>
    <col min="20" max="20" style="7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"/>
      <c r="P1" s="14" t="s">
        <v>3</v>
      </c>
      <c r="Q1" s="14"/>
      <c r="R1" s="14"/>
      <c r="S1" s="208"/>
      <c r="T1" s="208"/>
      <c r="U1" s="209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"/>
      <c r="P2" s="18"/>
      <c r="Q2" s="18"/>
      <c r="R2" s="18"/>
      <c r="S2" s="210"/>
      <c r="T2" s="210"/>
      <c r="U2" s="1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19"/>
      <c r="P3" s="17"/>
      <c r="Q3" s="17"/>
      <c r="R3" s="17"/>
      <c r="S3" s="1"/>
      <c r="T3" s="1"/>
      <c r="U3" s="1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19"/>
      <c r="T4" s="1"/>
      <c r="U4" s="1"/>
    </row>
    <row x14ac:dyDescent="0.25" r="5" customHeight="1" ht="16.5">
      <c r="A5" s="1"/>
      <c r="B5" s="20">
        <v>1</v>
      </c>
      <c r="C5" s="68"/>
      <c r="D5" s="68"/>
      <c r="E5" s="68"/>
      <c r="F5" s="68"/>
      <c r="G5" s="211"/>
      <c r="H5" s="70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19"/>
      <c r="T5" s="1"/>
      <c r="U5" s="1"/>
    </row>
    <row x14ac:dyDescent="0.25" r="6" customHeight="1" ht="19.5">
      <c r="A6" s="1"/>
      <c r="B6" s="20">
        <v>2</v>
      </c>
      <c r="C6" s="68"/>
      <c r="D6" s="68"/>
      <c r="E6" s="68"/>
      <c r="F6" s="68"/>
      <c r="G6" s="211"/>
      <c r="H6" s="70"/>
      <c r="I6" s="35"/>
      <c r="J6" s="35"/>
      <c r="K6" s="36">
        <f>(I6+J6)*10000</f>
      </c>
      <c r="L6" s="36">
        <f>K6*L3</f>
      </c>
      <c r="M6" s="34"/>
      <c r="N6" s="10"/>
      <c r="O6" s="1"/>
      <c r="P6" s="38"/>
      <c r="Q6" s="38"/>
      <c r="R6" s="38"/>
      <c r="S6" s="212"/>
      <c r="T6" s="212"/>
      <c r="U6" s="1"/>
    </row>
    <row x14ac:dyDescent="0.25" r="7" customHeight="1" ht="19.5">
      <c r="A7" s="1"/>
      <c r="B7" s="20">
        <v>3</v>
      </c>
      <c r="C7" s="68"/>
      <c r="D7" s="68"/>
      <c r="E7" s="68"/>
      <c r="F7" s="68"/>
      <c r="G7" s="211"/>
      <c r="H7" s="70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213"/>
      <c r="T7" s="213"/>
      <c r="U7" s="19"/>
    </row>
    <row x14ac:dyDescent="0.25" r="8" customHeight="1" ht="19.5">
      <c r="A8" s="1"/>
      <c r="B8" s="20">
        <v>4</v>
      </c>
      <c r="C8" s="68"/>
      <c r="D8" s="68"/>
      <c r="E8" s="68"/>
      <c r="F8" s="68"/>
      <c r="G8" s="70"/>
      <c r="H8" s="70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214" t="s">
        <v>22</v>
      </c>
      <c r="T8" s="214" t="s">
        <v>20</v>
      </c>
      <c r="U8" s="19"/>
    </row>
    <row x14ac:dyDescent="0.25" r="9" customHeight="1" ht="19.5">
      <c r="A9" s="1"/>
      <c r="B9" s="20">
        <v>5</v>
      </c>
      <c r="C9" s="68"/>
      <c r="D9" s="68"/>
      <c r="E9" s="68"/>
      <c r="F9" s="68"/>
      <c r="G9" s="211"/>
      <c r="H9" s="70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68"/>
      <c r="D10" s="68"/>
      <c r="E10" s="68"/>
      <c r="F10" s="68"/>
      <c r="G10" s="70"/>
      <c r="H10" s="70"/>
      <c r="I10" s="35"/>
      <c r="J10" s="35"/>
      <c r="K10" s="36">
        <f>(I10+J10)*10000</f>
      </c>
      <c r="L10" s="36">
        <f>K10*L3</f>
      </c>
      <c r="M10" s="34"/>
      <c r="N10" s="10"/>
      <c r="O10" s="13"/>
      <c r="P10" s="215">
        <f>SUM(P9:Q9)</f>
      </c>
      <c r="Q10" s="216"/>
      <c r="R10" s="217">
        <f>SUM(R9:T9)</f>
      </c>
      <c r="S10" s="218"/>
      <c r="T10" s="219"/>
      <c r="U10" s="19"/>
    </row>
    <row x14ac:dyDescent="0.25" r="11" customHeight="1" ht="19.5">
      <c r="A11" s="1"/>
      <c r="B11" s="20">
        <v>7</v>
      </c>
      <c r="C11" s="68"/>
      <c r="D11" s="220"/>
      <c r="E11" s="68"/>
      <c r="F11" s="68"/>
      <c r="G11" s="70"/>
      <c r="H11" s="70"/>
      <c r="I11" s="35"/>
      <c r="J11" s="35"/>
      <c r="K11" s="36">
        <f>(I11+J11)*10000</f>
      </c>
      <c r="L11" s="36">
        <f>K11*L3</f>
      </c>
      <c r="M11" s="34"/>
      <c r="N11" s="10"/>
      <c r="O11" s="1"/>
      <c r="P11" s="18"/>
      <c r="Q11" s="18"/>
      <c r="R11" s="18"/>
      <c r="S11" s="210"/>
      <c r="T11" s="210"/>
      <c r="U11" s="1"/>
    </row>
    <row x14ac:dyDescent="0.25" r="12" customHeight="1" ht="19.5">
      <c r="A12" s="1"/>
      <c r="B12" s="20">
        <v>8</v>
      </c>
      <c r="C12" s="68"/>
      <c r="D12" s="220"/>
      <c r="E12" s="68"/>
      <c r="F12" s="68"/>
      <c r="G12" s="70"/>
      <c r="H12" s="70"/>
      <c r="I12" s="35"/>
      <c r="J12" s="35"/>
      <c r="K12" s="36">
        <f>(I12+J12)*10000</f>
      </c>
      <c r="L12" s="36">
        <f>K12*L3</f>
      </c>
      <c r="M12" s="47"/>
      <c r="N12" s="17"/>
      <c r="O12" s="1"/>
      <c r="P12" s="10"/>
      <c r="Q12" s="10"/>
      <c r="R12" s="10"/>
      <c r="S12" s="1"/>
      <c r="T12" s="1"/>
      <c r="U12" s="1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19"/>
      <c r="P13" s="10"/>
      <c r="Q13" s="10"/>
      <c r="R13" s="10"/>
      <c r="S13" s="1"/>
      <c r="T13" s="1"/>
      <c r="U13" s="1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"/>
      <c r="P14" s="10"/>
      <c r="Q14" s="10"/>
      <c r="R14" s="10"/>
      <c r="S14" s="1"/>
      <c r="T14" s="1"/>
      <c r="U14" s="1"/>
    </row>
    <row x14ac:dyDescent="0.25" r="15" customHeight="1" ht="16.5">
      <c r="A15" s="1"/>
      <c r="B15" s="20">
        <v>1</v>
      </c>
      <c r="C15" s="71"/>
      <c r="D15" s="71"/>
      <c r="E15" s="71"/>
      <c r="F15" s="71"/>
      <c r="G15" s="72"/>
      <c r="H15" s="73"/>
      <c r="I15" s="74"/>
      <c r="J15" s="74"/>
      <c r="K15" s="36">
        <f>(I15+J15)*10000</f>
      </c>
      <c r="L15" s="36">
        <f>K15*L13</f>
      </c>
      <c r="M15" s="34"/>
      <c r="N15" s="10"/>
      <c r="O15" s="13"/>
      <c r="P15" s="10"/>
      <c r="Q15" s="10"/>
      <c r="R15" s="10"/>
      <c r="S15" s="1"/>
      <c r="T15" s="1"/>
      <c r="U15" s="1"/>
    </row>
    <row x14ac:dyDescent="0.25" r="16" customHeight="1" ht="16.5">
      <c r="A16" s="1"/>
      <c r="B16" s="20">
        <v>2</v>
      </c>
      <c r="C16" s="71"/>
      <c r="D16" s="71"/>
      <c r="E16" s="71"/>
      <c r="F16" s="71"/>
      <c r="G16" s="72"/>
      <c r="H16" s="73"/>
      <c r="I16" s="74"/>
      <c r="J16" s="74"/>
      <c r="K16" s="36">
        <f>(I16+J16)*10000</f>
      </c>
      <c r="L16" s="36">
        <f>K16*L13</f>
      </c>
      <c r="M16" s="34"/>
      <c r="N16" s="10"/>
      <c r="O16" s="13"/>
      <c r="P16" s="10"/>
      <c r="Q16" s="10"/>
      <c r="R16" s="10"/>
      <c r="S16" s="1"/>
      <c r="T16" s="1"/>
      <c r="U16" s="1"/>
    </row>
    <row x14ac:dyDescent="0.25" r="17" customHeight="1" ht="19.5">
      <c r="A17" s="1"/>
      <c r="B17" s="20">
        <v>3</v>
      </c>
      <c r="C17" s="71"/>
      <c r="D17" s="71"/>
      <c r="E17" s="71"/>
      <c r="F17" s="71"/>
      <c r="G17" s="72"/>
      <c r="H17" s="73"/>
      <c r="I17" s="74"/>
      <c r="J17" s="74"/>
      <c r="K17" s="36">
        <f>(I17+J17)*10000</f>
      </c>
      <c r="L17" s="36">
        <f>K17*L13</f>
      </c>
      <c r="M17" s="34"/>
      <c r="N17" s="10"/>
      <c r="O17" s="1"/>
      <c r="P17" s="10"/>
      <c r="Q17" s="10"/>
      <c r="R17" s="10"/>
      <c r="S17" s="1"/>
      <c r="T17" s="1"/>
      <c r="U17" s="1"/>
    </row>
    <row x14ac:dyDescent="0.25" r="18" customHeight="1" ht="19.5">
      <c r="A18" s="1"/>
      <c r="B18" s="20">
        <v>4</v>
      </c>
      <c r="C18" s="71"/>
      <c r="D18" s="71"/>
      <c r="E18" s="71"/>
      <c r="F18" s="71"/>
      <c r="G18" s="73"/>
      <c r="H18" s="73"/>
      <c r="I18" s="74"/>
      <c r="J18" s="74"/>
      <c r="K18" s="36">
        <f>(I18+J18)*10000</f>
      </c>
      <c r="L18" s="36">
        <f>K18*L13</f>
      </c>
      <c r="M18" s="34"/>
      <c r="N18" s="10"/>
      <c r="O18" s="13"/>
      <c r="P18" s="10"/>
      <c r="Q18" s="10"/>
      <c r="R18" s="10"/>
      <c r="S18" s="1"/>
      <c r="T18" s="1"/>
      <c r="U18" s="19"/>
    </row>
    <row x14ac:dyDescent="0.25" r="19" customHeight="1" ht="19.5">
      <c r="A19" s="1"/>
      <c r="B19" s="20">
        <v>5</v>
      </c>
      <c r="C19" s="71"/>
      <c r="D19" s="71"/>
      <c r="E19" s="71"/>
      <c r="F19" s="71"/>
      <c r="G19" s="72"/>
      <c r="H19" s="73"/>
      <c r="I19" s="74"/>
      <c r="J19" s="74"/>
      <c r="K19" s="36">
        <f>(I19+J19)*10000</f>
      </c>
      <c r="L19" s="36">
        <f>K19*L13</f>
      </c>
      <c r="M19" s="34"/>
      <c r="N19" s="10"/>
      <c r="O19" s="13"/>
      <c r="P19" s="10"/>
      <c r="Q19" s="10"/>
      <c r="R19" s="10"/>
      <c r="S19" s="1"/>
      <c r="T19" s="1"/>
      <c r="U19" s="19"/>
    </row>
    <row x14ac:dyDescent="0.25" r="20" customHeight="1" ht="19.5">
      <c r="A20" s="1"/>
      <c r="B20" s="20">
        <v>6</v>
      </c>
      <c r="C20" s="71"/>
      <c r="D20" s="71"/>
      <c r="E20" s="71"/>
      <c r="F20" s="71"/>
      <c r="G20" s="73"/>
      <c r="H20" s="73"/>
      <c r="I20" s="74"/>
      <c r="J20" s="74"/>
      <c r="K20" s="36">
        <f>(I20+J20)*10000</f>
      </c>
      <c r="L20" s="36">
        <f>K20*L13</f>
      </c>
      <c r="M20" s="34"/>
      <c r="N20" s="10"/>
      <c r="O20" s="13"/>
      <c r="P20" s="10"/>
      <c r="Q20" s="10"/>
      <c r="R20" s="10"/>
      <c r="S20" s="1"/>
      <c r="T20" s="1"/>
      <c r="U20" s="19"/>
    </row>
    <row x14ac:dyDescent="0.25" r="21" customHeight="1" ht="19.5">
      <c r="A21" s="1"/>
      <c r="B21" s="20">
        <v>7</v>
      </c>
      <c r="C21" s="71"/>
      <c r="D21" s="75"/>
      <c r="E21" s="71"/>
      <c r="F21" s="71"/>
      <c r="G21" s="73"/>
      <c r="H21" s="73"/>
      <c r="I21" s="74"/>
      <c r="J21" s="74"/>
      <c r="K21" s="36">
        <f>(I21+J21)*10000</f>
      </c>
      <c r="L21" s="36">
        <f>K21*L13</f>
      </c>
      <c r="M21" s="34"/>
      <c r="N21" s="10"/>
      <c r="O21" s="13"/>
      <c r="P21" s="10"/>
      <c r="Q21" s="10"/>
      <c r="R21" s="10"/>
      <c r="S21" s="1"/>
      <c r="T21" s="1"/>
      <c r="U21" s="19"/>
    </row>
    <row x14ac:dyDescent="0.25" r="22" customHeight="1" ht="19.5">
      <c r="A22" s="1"/>
      <c r="B22" s="20">
        <v>8</v>
      </c>
      <c r="C22" s="71"/>
      <c r="D22" s="75"/>
      <c r="E22" s="71"/>
      <c r="F22" s="71"/>
      <c r="G22" s="73"/>
      <c r="H22" s="73"/>
      <c r="I22" s="74"/>
      <c r="J22" s="74"/>
      <c r="K22" s="36">
        <f>(I22+J22)*10000</f>
      </c>
      <c r="L22" s="36">
        <f>K22*L13</f>
      </c>
      <c r="M22" s="47"/>
      <c r="N22" s="17"/>
      <c r="O22" s="1"/>
      <c r="P22" s="18"/>
      <c r="Q22" s="18"/>
      <c r="R22" s="18"/>
      <c r="S22" s="210"/>
      <c r="T22" s="210"/>
      <c r="U22" s="1"/>
    </row>
    <row x14ac:dyDescent="0.25" r="23" customHeight="1" ht="19.5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10"/>
      <c r="Q23" s="10"/>
      <c r="R23" s="10"/>
      <c r="S23" s="1"/>
      <c r="T23" s="1"/>
      <c r="U23" s="1"/>
    </row>
    <row x14ac:dyDescent="0.25" r="24" customHeight="1" ht="19.5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"/>
      <c r="P24" s="10"/>
      <c r="Q24" s="10"/>
      <c r="R24" s="10"/>
      <c r="S24" s="1"/>
      <c r="T24" s="1"/>
      <c r="U24" s="1"/>
    </row>
    <row x14ac:dyDescent="0.25" r="25" customHeight="1" ht="19.5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"/>
      <c r="P25" s="10"/>
      <c r="Q25" s="10"/>
      <c r="R25" s="10"/>
      <c r="S25" s="1"/>
      <c r="T25" s="1"/>
      <c r="U25" s="1"/>
    </row>
    <row x14ac:dyDescent="0.25" r="26" customHeight="1" ht="19.5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"/>
      <c r="P26" s="10"/>
      <c r="Q26" s="10"/>
      <c r="R26" s="10"/>
      <c r="S26" s="1"/>
      <c r="T26" s="1"/>
      <c r="U26" s="1"/>
    </row>
    <row x14ac:dyDescent="0.25" r="27" customHeight="1" ht="19.5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"/>
      <c r="P27" s="10"/>
      <c r="Q27" s="10"/>
      <c r="R27" s="10"/>
      <c r="S27" s="1"/>
      <c r="T27" s="1"/>
      <c r="U27" s="1"/>
    </row>
    <row x14ac:dyDescent="0.25" r="28" customHeight="1" ht="19.5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"/>
      <c r="P28" s="10"/>
      <c r="Q28" s="10"/>
      <c r="R28" s="10"/>
      <c r="S28" s="1"/>
      <c r="T28" s="1"/>
      <c r="U28" s="1"/>
    </row>
    <row x14ac:dyDescent="0.25" r="29" customHeight="1" ht="19.5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"/>
      <c r="P29" s="10"/>
      <c r="Q29" s="10"/>
      <c r="R29" s="10"/>
      <c r="S29" s="1"/>
      <c r="T29" s="1"/>
      <c r="U29" s="1"/>
    </row>
    <row x14ac:dyDescent="0.25" r="30" customHeight="1" ht="19.5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"/>
      <c r="P30" s="10"/>
      <c r="Q30" s="10"/>
      <c r="R30" s="10"/>
      <c r="S30" s="1"/>
      <c r="T30" s="1"/>
      <c r="U30" s="1"/>
    </row>
    <row x14ac:dyDescent="0.25" r="31" customHeight="1" ht="19.5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"/>
      <c r="P31" s="10"/>
      <c r="Q31" s="10"/>
      <c r="R31" s="10"/>
      <c r="S31" s="1"/>
      <c r="T31" s="1"/>
      <c r="U31" s="1"/>
    </row>
    <row x14ac:dyDescent="0.25" r="32" customHeight="1" ht="19.5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10"/>
      <c r="Q32" s="10"/>
      <c r="R32" s="10"/>
      <c r="S32" s="1"/>
      <c r="T32" s="1"/>
      <c r="U32" s="1"/>
    </row>
    <row x14ac:dyDescent="0.25" r="33" customHeight="1" ht="19.5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"/>
      <c r="T33" s="1"/>
      <c r="U33" s="1"/>
    </row>
    <row x14ac:dyDescent="0.25" r="34" customHeight="1" ht="19.5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"/>
      <c r="T34" s="1"/>
      <c r="U34" s="1"/>
    </row>
    <row x14ac:dyDescent="0.25" r="35" customHeight="1" ht="19.5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"/>
      <c r="T35" s="1"/>
      <c r="U35" s="1"/>
    </row>
    <row x14ac:dyDescent="0.25" r="36" customHeight="1" ht="19.5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"/>
      <c r="T36" s="1"/>
      <c r="U36" s="1"/>
    </row>
    <row x14ac:dyDescent="0.25" r="37" customHeight="1" ht="19.5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"/>
      <c r="T37" s="1"/>
      <c r="U37" s="1"/>
    </row>
    <row x14ac:dyDescent="0.25" r="38" customHeight="1" ht="19.5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"/>
      <c r="T38" s="1"/>
      <c r="U38" s="1"/>
    </row>
    <row x14ac:dyDescent="0.25" r="39" customHeight="1" ht="19.5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"/>
      <c r="T39" s="1"/>
      <c r="U39" s="1"/>
    </row>
    <row x14ac:dyDescent="0.25" r="40" customHeight="1" ht="19.5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"/>
      <c r="T40" s="1"/>
      <c r="U40" s="1"/>
    </row>
    <row x14ac:dyDescent="0.25" r="41" customHeight="1" ht="19.5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"/>
      <c r="T41" s="1"/>
      <c r="U41" s="1"/>
    </row>
    <row x14ac:dyDescent="0.25" r="42" customHeight="1" ht="19.5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"/>
      <c r="T42" s="1"/>
      <c r="U42" s="1"/>
    </row>
    <row x14ac:dyDescent="0.25" r="43" customHeight="1" ht="16.5">
      <c r="A43" s="76"/>
      <c r="B43" s="77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"/>
      <c r="T43" s="1"/>
      <c r="U43" s="1"/>
    </row>
    <row x14ac:dyDescent="0.25" r="44" customHeight="1" ht="16.5">
      <c r="A44" s="76"/>
      <c r="B44" s="77"/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9"/>
      <c r="P44" s="10"/>
      <c r="Q44" s="10"/>
      <c r="R44" s="10"/>
      <c r="S44" s="1"/>
      <c r="T44" s="1"/>
      <c r="U44" s="1"/>
    </row>
    <row x14ac:dyDescent="0.25" r="45" customHeight="1" ht="19.5">
      <c r="A45" s="76"/>
      <c r="B45" s="77"/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9"/>
      <c r="P45" s="10"/>
      <c r="Q45" s="10"/>
      <c r="R45" s="10"/>
      <c r="S45" s="1"/>
      <c r="T45" s="1"/>
      <c r="U45" s="1"/>
    </row>
    <row x14ac:dyDescent="0.25" r="46" customHeight="1" ht="19.5">
      <c r="A46" s="76"/>
      <c r="B46" s="77"/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9"/>
      <c r="P46" s="10"/>
      <c r="Q46" s="10"/>
      <c r="R46" s="10"/>
      <c r="S46" s="1"/>
      <c r="T46" s="1"/>
      <c r="U46" s="1"/>
    </row>
    <row x14ac:dyDescent="0.25" r="47" customHeight="1" ht="19.5">
      <c r="A47" s="76"/>
      <c r="B47" s="77"/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9"/>
      <c r="P47" s="10"/>
      <c r="Q47" s="10"/>
      <c r="R47" s="10"/>
      <c r="S47" s="1"/>
      <c r="T47" s="1"/>
      <c r="U47" s="1"/>
    </row>
    <row x14ac:dyDescent="0.25" r="48" customHeight="1" ht="19.5">
      <c r="A48" s="76"/>
      <c r="B48" s="77"/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9"/>
      <c r="P48" s="10"/>
      <c r="Q48" s="10"/>
      <c r="R48" s="10"/>
      <c r="S48" s="1"/>
      <c r="T48" s="1"/>
      <c r="U48" s="1"/>
    </row>
    <row x14ac:dyDescent="0.25" r="49" customHeight="1" ht="19.5">
      <c r="A49" s="76"/>
      <c r="B49" s="77"/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9"/>
      <c r="P49" s="10"/>
      <c r="Q49" s="10"/>
      <c r="R49" s="10"/>
      <c r="S49" s="1"/>
      <c r="T49" s="1"/>
      <c r="U49" s="1"/>
    </row>
    <row x14ac:dyDescent="0.25" r="50" customHeight="1" ht="19.5">
      <c r="A50" s="76"/>
      <c r="B50" s="77"/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9"/>
      <c r="P50" s="10"/>
      <c r="Q50" s="10"/>
      <c r="R50" s="10"/>
      <c r="S50" s="1"/>
      <c r="T50" s="1"/>
      <c r="U50" s="1"/>
    </row>
    <row x14ac:dyDescent="0.25" r="51" customHeight="1" ht="19.5">
      <c r="A51" s="76"/>
      <c r="B51" s="77"/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9"/>
      <c r="P51" s="10"/>
      <c r="Q51" s="10"/>
      <c r="R51" s="10"/>
      <c r="S51" s="1"/>
      <c r="T51" s="1"/>
      <c r="U51" s="1"/>
    </row>
    <row x14ac:dyDescent="0.25" r="52" customHeight="1" ht="19.5">
      <c r="A52" s="76"/>
      <c r="B52" s="77"/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9"/>
      <c r="P52" s="10"/>
      <c r="Q52" s="10"/>
      <c r="R52" s="10"/>
      <c r="S52" s="1"/>
      <c r="T52" s="1"/>
      <c r="U52" s="1"/>
    </row>
    <row x14ac:dyDescent="0.25" r="53" customHeight="1" ht="16.5">
      <c r="A53" s="76"/>
      <c r="B53" s="77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"/>
      <c r="T53" s="1"/>
      <c r="U53" s="1"/>
    </row>
    <row x14ac:dyDescent="0.25" r="54" customHeight="1" ht="16.5">
      <c r="A54" s="76"/>
      <c r="B54" s="77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9"/>
      <c r="P54" s="10"/>
      <c r="Q54" s="10"/>
      <c r="R54" s="10"/>
      <c r="S54" s="1"/>
      <c r="T54" s="1"/>
      <c r="U54" s="1"/>
    </row>
    <row x14ac:dyDescent="0.25" r="55" customHeight="1" ht="19.5">
      <c r="A55" s="76"/>
      <c r="B55" s="77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9"/>
      <c r="P55" s="10"/>
      <c r="Q55" s="10"/>
      <c r="R55" s="10"/>
      <c r="S55" s="1"/>
      <c r="T55" s="1"/>
      <c r="U55" s="1"/>
    </row>
    <row x14ac:dyDescent="0.25" r="56" customHeight="1" ht="19.5">
      <c r="A56" s="76"/>
      <c r="B56" s="77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9"/>
      <c r="P56" s="10"/>
      <c r="Q56" s="10"/>
      <c r="R56" s="10"/>
      <c r="S56" s="1"/>
      <c r="T56" s="1"/>
      <c r="U56" s="1"/>
    </row>
    <row x14ac:dyDescent="0.25" r="57" customHeight="1" ht="19.5">
      <c r="A57" s="76"/>
      <c r="B57" s="77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9"/>
      <c r="P57" s="10"/>
      <c r="Q57" s="10"/>
      <c r="R57" s="10"/>
      <c r="S57" s="1"/>
      <c r="T57" s="1"/>
      <c r="U57" s="1"/>
    </row>
    <row x14ac:dyDescent="0.25" r="58" customHeight="1" ht="19.5">
      <c r="A58" s="76"/>
      <c r="B58" s="77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9"/>
      <c r="P58" s="10"/>
      <c r="Q58" s="10"/>
      <c r="R58" s="10"/>
      <c r="S58" s="1"/>
      <c r="T58" s="1"/>
      <c r="U58" s="1"/>
    </row>
    <row x14ac:dyDescent="0.25" r="59" customHeight="1" ht="19.5">
      <c r="A59" s="76"/>
      <c r="B59" s="77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9"/>
      <c r="P59" s="10"/>
      <c r="Q59" s="10"/>
      <c r="R59" s="10"/>
      <c r="S59" s="1"/>
      <c r="T59" s="1"/>
      <c r="U59" s="1"/>
    </row>
    <row x14ac:dyDescent="0.25" r="60" customHeight="1" ht="19.5">
      <c r="A60" s="76"/>
      <c r="B60" s="77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9"/>
      <c r="P60" s="10"/>
      <c r="Q60" s="10"/>
      <c r="R60" s="10"/>
      <c r="S60" s="1"/>
      <c r="T60" s="1"/>
      <c r="U60" s="1"/>
    </row>
    <row x14ac:dyDescent="0.25" r="61" customHeight="1" ht="19.5">
      <c r="A61" s="76"/>
      <c r="B61" s="77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9"/>
      <c r="P61" s="10"/>
      <c r="Q61" s="10"/>
      <c r="R61" s="10"/>
      <c r="S61" s="1"/>
      <c r="T61" s="1"/>
      <c r="U61" s="1"/>
    </row>
    <row x14ac:dyDescent="0.25" r="62" customHeight="1" ht="19.5">
      <c r="A62" s="76"/>
      <c r="B62" s="77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9"/>
      <c r="P62" s="10"/>
      <c r="Q62" s="10"/>
      <c r="R62" s="10"/>
      <c r="S62" s="1"/>
      <c r="T62" s="1"/>
      <c r="U62" s="1"/>
    </row>
    <row x14ac:dyDescent="0.25" r="63" customHeight="1" ht="19.5">
      <c r="A63" s="76"/>
      <c r="B63" s="77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"/>
      <c r="T63" s="1"/>
      <c r="U63" s="1"/>
    </row>
    <row x14ac:dyDescent="0.25" r="64" customHeight="1" ht="19.5">
      <c r="A64" s="76"/>
      <c r="B64" s="77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9"/>
      <c r="P64" s="10"/>
      <c r="Q64" s="10"/>
      <c r="R64" s="10"/>
      <c r="S64" s="1"/>
      <c r="T64" s="1"/>
      <c r="U64" s="1"/>
    </row>
    <row x14ac:dyDescent="0.25" r="65" customHeight="1" ht="19.5">
      <c r="A65" s="76"/>
      <c r="B65" s="77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9"/>
      <c r="P65" s="10"/>
      <c r="Q65" s="10"/>
      <c r="R65" s="10"/>
      <c r="S65" s="1"/>
      <c r="T65" s="1"/>
      <c r="U65" s="1"/>
    </row>
    <row x14ac:dyDescent="0.25" r="66" customHeight="1" ht="19.5">
      <c r="A66" s="76"/>
      <c r="B66" s="77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9"/>
      <c r="P66" s="10"/>
      <c r="Q66" s="10"/>
      <c r="R66" s="10"/>
      <c r="S66" s="1"/>
      <c r="T66" s="1"/>
      <c r="U66" s="1"/>
    </row>
    <row x14ac:dyDescent="0.25" r="67" customHeight="1" ht="19.5">
      <c r="A67" s="76"/>
      <c r="B67" s="77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9"/>
      <c r="P67" s="10"/>
      <c r="Q67" s="10"/>
      <c r="R67" s="10"/>
      <c r="S67" s="1"/>
      <c r="T67" s="1"/>
      <c r="U67" s="1"/>
    </row>
    <row x14ac:dyDescent="0.25" r="68" customHeight="1" ht="19.5">
      <c r="A68" s="76"/>
      <c r="B68" s="77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9"/>
      <c r="P68" s="10"/>
      <c r="Q68" s="10"/>
      <c r="R68" s="10"/>
      <c r="S68" s="1"/>
      <c r="T68" s="1"/>
      <c r="U68" s="1"/>
    </row>
    <row x14ac:dyDescent="0.25" r="69" customHeight="1" ht="19.5">
      <c r="A69" s="76"/>
      <c r="B69" s="77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9"/>
      <c r="P69" s="10"/>
      <c r="Q69" s="10"/>
      <c r="R69" s="10"/>
      <c r="S69" s="1"/>
      <c r="T69" s="1"/>
      <c r="U69" s="1"/>
    </row>
    <row x14ac:dyDescent="0.25" r="70" customHeight="1" ht="19.5">
      <c r="A70" s="76"/>
      <c r="B70" s="77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9"/>
      <c r="P70" s="10"/>
      <c r="Q70" s="10"/>
      <c r="R70" s="10"/>
      <c r="S70" s="1"/>
      <c r="T70" s="1"/>
      <c r="U70" s="1"/>
    </row>
    <row x14ac:dyDescent="0.25" r="71" customHeight="1" ht="19.5">
      <c r="A71" s="76"/>
      <c r="B71" s="77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9"/>
      <c r="P71" s="10"/>
      <c r="Q71" s="10"/>
      <c r="R71" s="10"/>
      <c r="S71" s="1"/>
      <c r="T71" s="1"/>
      <c r="U71" s="1"/>
    </row>
    <row x14ac:dyDescent="0.25" r="72" customHeight="1" ht="19.5">
      <c r="A72" s="76"/>
      <c r="B72" s="77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9"/>
      <c r="P72" s="10"/>
      <c r="Q72" s="10"/>
      <c r="R72" s="10"/>
      <c r="S72" s="1"/>
      <c r="T72" s="1"/>
      <c r="U72" s="1"/>
    </row>
    <row x14ac:dyDescent="0.25" r="73" customHeight="1" ht="19.5">
      <c r="A73" s="76"/>
      <c r="B73" s="77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"/>
      <c r="T73" s="1"/>
      <c r="U73" s="1"/>
    </row>
    <row x14ac:dyDescent="0.25" r="74" customHeight="1" ht="16.5">
      <c r="A74" s="76"/>
      <c r="B74" s="77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9"/>
      <c r="P74" s="10"/>
      <c r="Q74" s="10"/>
      <c r="R74" s="10"/>
      <c r="S74" s="1"/>
      <c r="T74" s="1"/>
      <c r="U74" s="1"/>
    </row>
    <row x14ac:dyDescent="0.25" r="75" customHeight="1" ht="19.5">
      <c r="A75" s="76"/>
      <c r="B75" s="77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9"/>
      <c r="P75" s="10"/>
      <c r="Q75" s="10"/>
      <c r="R75" s="10"/>
      <c r="S75" s="1"/>
      <c r="T75" s="1"/>
      <c r="U75" s="1"/>
    </row>
    <row x14ac:dyDescent="0.25" r="76" customHeight="1" ht="19.5">
      <c r="A76" s="76"/>
      <c r="B76" s="77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9"/>
      <c r="P76" s="10"/>
      <c r="Q76" s="10"/>
      <c r="R76" s="10"/>
      <c r="S76" s="1"/>
      <c r="T76" s="1"/>
      <c r="U76" s="1"/>
    </row>
    <row x14ac:dyDescent="0.25" r="77" customHeight="1" ht="19.5">
      <c r="A77" s="76"/>
      <c r="B77" s="77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9"/>
      <c r="P77" s="10"/>
      <c r="Q77" s="10"/>
      <c r="R77" s="10"/>
      <c r="S77" s="1"/>
      <c r="T77" s="1"/>
      <c r="U77" s="1"/>
    </row>
    <row x14ac:dyDescent="0.25" r="78" customHeight="1" ht="19.5">
      <c r="A78" s="76"/>
      <c r="B78" s="77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9"/>
      <c r="P78" s="10"/>
      <c r="Q78" s="10"/>
      <c r="R78" s="10"/>
      <c r="S78" s="1"/>
      <c r="T78" s="1"/>
      <c r="U78" s="1"/>
    </row>
    <row x14ac:dyDescent="0.25" r="79" customHeight="1" ht="19.5">
      <c r="A79" s="76"/>
      <c r="B79" s="77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9"/>
      <c r="P79" s="10"/>
      <c r="Q79" s="10"/>
      <c r="R79" s="10"/>
      <c r="S79" s="1"/>
      <c r="T79" s="1"/>
      <c r="U79" s="1"/>
    </row>
    <row x14ac:dyDescent="0.25" r="80" customHeight="1" ht="19.5">
      <c r="A80" s="76"/>
      <c r="B80" s="77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9"/>
      <c r="P80" s="10"/>
      <c r="Q80" s="10"/>
      <c r="R80" s="10"/>
      <c r="S80" s="1"/>
      <c r="T80" s="1"/>
      <c r="U80" s="1"/>
    </row>
    <row x14ac:dyDescent="0.25" r="81" customHeight="1" ht="19.5">
      <c r="A81" s="76"/>
      <c r="B81" s="77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9"/>
      <c r="P81" s="10"/>
      <c r="Q81" s="10"/>
      <c r="R81" s="10"/>
      <c r="S81" s="1"/>
      <c r="T81" s="1"/>
      <c r="U81" s="1"/>
    </row>
    <row x14ac:dyDescent="0.25" r="82" customHeight="1" ht="19.5">
      <c r="A82" s="76"/>
      <c r="B82" s="77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9"/>
      <c r="P82" s="10"/>
      <c r="Q82" s="10"/>
      <c r="R82" s="10"/>
      <c r="S82" s="1"/>
      <c r="T82" s="1"/>
      <c r="U82" s="1"/>
    </row>
    <row x14ac:dyDescent="0.25" r="83" customHeight="1" ht="19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"/>
      <c r="T83" s="1"/>
      <c r="U83" s="1"/>
    </row>
    <row x14ac:dyDescent="0.25" r="84" customHeight="1" ht="19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9"/>
      <c r="P84" s="10"/>
      <c r="Q84" s="10"/>
      <c r="R84" s="10"/>
      <c r="S84" s="1"/>
      <c r="T84" s="1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9"/>
      <c r="P85" s="10"/>
      <c r="Q85" s="10"/>
      <c r="R85" s="10"/>
      <c r="S85" s="1"/>
      <c r="T85" s="1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9"/>
      <c r="P86" s="10"/>
      <c r="Q86" s="10"/>
      <c r="R86" s="10"/>
      <c r="S86" s="1"/>
      <c r="T86" s="1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9"/>
      <c r="P87" s="10"/>
      <c r="Q87" s="10"/>
      <c r="R87" s="10"/>
      <c r="S87" s="1"/>
      <c r="T87" s="1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9"/>
      <c r="P88" s="10"/>
      <c r="Q88" s="10"/>
      <c r="R88" s="10"/>
      <c r="S88" s="1"/>
      <c r="T88" s="1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9"/>
      <c r="P89" s="10"/>
      <c r="Q89" s="10"/>
      <c r="R89" s="10"/>
      <c r="S89" s="1"/>
      <c r="T89" s="1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9"/>
      <c r="P90" s="10"/>
      <c r="Q90" s="10"/>
      <c r="R90" s="10"/>
      <c r="S90" s="1"/>
      <c r="T90" s="1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9"/>
      <c r="P91" s="10"/>
      <c r="Q91" s="10"/>
      <c r="R91" s="10"/>
      <c r="S91" s="1"/>
      <c r="T91" s="1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9"/>
      <c r="P92" s="10"/>
      <c r="Q92" s="10"/>
      <c r="R92" s="10"/>
      <c r="S92" s="1"/>
      <c r="T92" s="1"/>
      <c r="U92" s="1"/>
    </row>
    <row x14ac:dyDescent="0.25" r="93" customHeight="1" ht="19.5">
      <c r="A93" s="76"/>
      <c r="B93" s="77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"/>
      <c r="T93" s="1"/>
      <c r="U93" s="1"/>
    </row>
    <row x14ac:dyDescent="0.25" r="94" customHeight="1" ht="19.5">
      <c r="A94" s="76"/>
      <c r="B94" s="77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9"/>
      <c r="P94" s="10"/>
      <c r="Q94" s="10"/>
      <c r="R94" s="10"/>
      <c r="S94" s="1"/>
      <c r="T94" s="1"/>
      <c r="U94" s="1"/>
    </row>
    <row x14ac:dyDescent="0.25" r="95" customHeight="1" ht="19.5">
      <c r="A95" s="76"/>
      <c r="B95" s="77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9"/>
      <c r="P95" s="10"/>
      <c r="Q95" s="10"/>
      <c r="R95" s="10"/>
      <c r="S95" s="1"/>
      <c r="T95" s="1"/>
      <c r="U95" s="1"/>
    </row>
    <row x14ac:dyDescent="0.25" r="96" customHeight="1" ht="19.5">
      <c r="A96" s="76"/>
      <c r="B96" s="77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9"/>
      <c r="P96" s="10"/>
      <c r="Q96" s="10"/>
      <c r="R96" s="10"/>
      <c r="S96" s="1"/>
      <c r="T96" s="1"/>
      <c r="U96" s="1"/>
    </row>
    <row x14ac:dyDescent="0.25" r="97" customHeight="1" ht="19.5">
      <c r="A97" s="76"/>
      <c r="B97" s="77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9"/>
      <c r="P97" s="10"/>
      <c r="Q97" s="10"/>
      <c r="R97" s="10"/>
      <c r="S97" s="1"/>
      <c r="T97" s="1"/>
      <c r="U97" s="1"/>
    </row>
    <row x14ac:dyDescent="0.25" r="98" customHeight="1" ht="19.5">
      <c r="A98" s="76"/>
      <c r="B98" s="77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9"/>
      <c r="P98" s="10"/>
      <c r="Q98" s="10"/>
      <c r="R98" s="10"/>
      <c r="S98" s="1"/>
      <c r="T98" s="1"/>
      <c r="U98" s="1"/>
    </row>
    <row x14ac:dyDescent="0.25" r="99" customHeight="1" ht="19.5">
      <c r="A99" s="76"/>
      <c r="B99" s="77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9"/>
      <c r="P99" s="10"/>
      <c r="Q99" s="10"/>
      <c r="R99" s="10"/>
      <c r="S99" s="1"/>
      <c r="T99" s="1"/>
      <c r="U99" s="1"/>
    </row>
    <row x14ac:dyDescent="0.25" r="100" customHeight="1" ht="19.5">
      <c r="A100" s="76"/>
      <c r="B100" s="77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9"/>
      <c r="P100" s="10"/>
      <c r="Q100" s="10"/>
      <c r="R100" s="10"/>
      <c r="S100" s="1"/>
      <c r="T100" s="1"/>
      <c r="U100" s="1"/>
    </row>
    <row x14ac:dyDescent="0.25" r="101" customHeight="1" ht="19.5">
      <c r="A101" s="76"/>
      <c r="B101" s="77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9"/>
      <c r="P101" s="10"/>
      <c r="Q101" s="10"/>
      <c r="R101" s="10"/>
      <c r="S101" s="1"/>
      <c r="T101" s="1"/>
      <c r="U101" s="1"/>
    </row>
    <row x14ac:dyDescent="0.25" r="102" customHeight="1" ht="19.5">
      <c r="A102" s="76"/>
      <c r="B102" s="77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9"/>
      <c r="P102" s="10"/>
      <c r="Q102" s="10"/>
      <c r="R102" s="10"/>
      <c r="S102" s="1"/>
      <c r="T102" s="1"/>
      <c r="U102" s="1"/>
    </row>
    <row x14ac:dyDescent="0.25" r="103" customHeight="1" ht="19.5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"/>
      <c r="T103" s="1"/>
      <c r="U103" s="1"/>
    </row>
    <row x14ac:dyDescent="0.25" r="104" customHeight="1" ht="19.5">
      <c r="A104" s="1"/>
      <c r="B104" s="20" t="s">
        <v>6</v>
      </c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"/>
      <c r="T104" s="1"/>
      <c r="U104" s="1"/>
    </row>
    <row x14ac:dyDescent="0.25" r="105" customHeight="1" ht="19.5">
      <c r="A105" s="1"/>
      <c r="B105" s="20">
        <v>1</v>
      </c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"/>
      <c r="T105" s="1"/>
      <c r="U105" s="1"/>
    </row>
    <row x14ac:dyDescent="0.25" r="106" customHeight="1" ht="19.5">
      <c r="A106" s="1"/>
      <c r="B106" s="20">
        <v>2</v>
      </c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"/>
      <c r="T106" s="1"/>
      <c r="U106" s="1"/>
    </row>
    <row x14ac:dyDescent="0.25" r="107" customHeight="1" ht="19.5">
      <c r="A107" s="1"/>
      <c r="B107" s="20">
        <v>3</v>
      </c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"/>
      <c r="T107" s="1"/>
      <c r="U107" s="1"/>
    </row>
    <row x14ac:dyDescent="0.25" r="108" customHeight="1" ht="19.5">
      <c r="A108" s="1"/>
      <c r="B108" s="20">
        <v>4</v>
      </c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"/>
      <c r="T108" s="1"/>
      <c r="U108" s="1"/>
    </row>
    <row x14ac:dyDescent="0.25" r="109" customHeight="1" ht="19.5">
      <c r="A109" s="1"/>
      <c r="B109" s="20">
        <v>5</v>
      </c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"/>
      <c r="T109" s="1"/>
      <c r="U109" s="1"/>
    </row>
    <row x14ac:dyDescent="0.25" r="110" customHeight="1" ht="19.5">
      <c r="A110" s="1"/>
      <c r="B110" s="20">
        <v>6</v>
      </c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"/>
      <c r="T110" s="1"/>
      <c r="U110" s="1"/>
    </row>
    <row x14ac:dyDescent="0.25" r="111" customHeight="1" ht="19.5">
      <c r="A111" s="1"/>
      <c r="B111" s="20">
        <v>7</v>
      </c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"/>
      <c r="T111" s="1"/>
      <c r="U111" s="1"/>
    </row>
    <row x14ac:dyDescent="0.25" r="112" customHeight="1" ht="19.5">
      <c r="A112" s="1"/>
      <c r="B112" s="20">
        <v>8</v>
      </c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"/>
      <c r="T112" s="1"/>
      <c r="U112" s="1"/>
    </row>
    <row x14ac:dyDescent="0.25" r="113" customHeight="1" ht="19.5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"/>
      <c r="T113" s="1"/>
      <c r="U113" s="1"/>
    </row>
    <row x14ac:dyDescent="0.25" r="114" customHeight="1" ht="19.5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"/>
      <c r="T114" s="1"/>
      <c r="U114" s="1"/>
    </row>
    <row x14ac:dyDescent="0.25" r="115" customHeight="1" ht="19.5">
      <c r="A115" s="1"/>
      <c r="B115" s="20"/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"/>
      <c r="T115" s="1"/>
      <c r="U115" s="1"/>
    </row>
    <row x14ac:dyDescent="0.25" r="116" customHeight="1" ht="19.5">
      <c r="A116" s="1"/>
      <c r="B116" s="20"/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"/>
      <c r="T116" s="1"/>
      <c r="U116" s="1"/>
    </row>
    <row x14ac:dyDescent="0.25" r="117" customHeight="1" ht="19.5">
      <c r="A117" s="1"/>
      <c r="B117" s="20"/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"/>
      <c r="T117" s="1"/>
      <c r="U117" s="1"/>
    </row>
    <row x14ac:dyDescent="0.25" r="118" customHeight="1" ht="19.5">
      <c r="A118" s="1"/>
      <c r="B118" s="20"/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"/>
      <c r="T118" s="1"/>
      <c r="U118" s="1"/>
    </row>
    <row x14ac:dyDescent="0.25" r="119" customHeight="1" ht="19.5">
      <c r="A119" s="1"/>
      <c r="B119" s="20"/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"/>
      <c r="T119" s="1"/>
      <c r="U119" s="1"/>
    </row>
    <row x14ac:dyDescent="0.25" r="120" customHeight="1" ht="19.5">
      <c r="A120" s="1"/>
      <c r="B120" s="20"/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"/>
      <c r="T120" s="1"/>
      <c r="U120" s="1"/>
    </row>
    <row x14ac:dyDescent="0.25" r="121" customHeight="1" ht="19.5">
      <c r="A121" s="1"/>
      <c r="B121" s="20"/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"/>
      <c r="T121" s="1"/>
      <c r="U121" s="1"/>
    </row>
    <row x14ac:dyDescent="0.25" r="122" customHeight="1" ht="19.5">
      <c r="A122" s="1"/>
      <c r="B122" s="20"/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"/>
      <c r="T122" s="1"/>
      <c r="U122" s="1"/>
    </row>
    <row x14ac:dyDescent="0.25" r="123" customHeight="1" ht="19.5">
      <c r="A123" s="1"/>
      <c r="B123" s="20"/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"/>
      <c r="T123" s="1"/>
      <c r="U123" s="1"/>
    </row>
    <row x14ac:dyDescent="0.25" r="124" customHeight="1" ht="19.5">
      <c r="A124" s="1"/>
      <c r="B124" s="20"/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"/>
      <c r="T124" s="1"/>
      <c r="U124" s="1"/>
    </row>
    <row x14ac:dyDescent="0.25" r="125" customHeight="1" ht="19.5">
      <c r="A125" s="1"/>
      <c r="B125" s="20"/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"/>
      <c r="T125" s="1"/>
      <c r="U125" s="1"/>
    </row>
    <row x14ac:dyDescent="0.25" r="126" customHeight="1" ht="19.5">
      <c r="A126" s="1"/>
      <c r="B126" s="20"/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"/>
      <c r="T126" s="1"/>
      <c r="U126" s="1"/>
    </row>
    <row x14ac:dyDescent="0.25" r="127" customHeight="1" ht="19.5">
      <c r="A127" s="1"/>
      <c r="B127" s="20"/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"/>
      <c r="T127" s="1"/>
      <c r="U127" s="1"/>
    </row>
    <row x14ac:dyDescent="0.25" r="128" customHeight="1" ht="19.5">
      <c r="A128" s="1"/>
      <c r="B128" s="20"/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"/>
      <c r="T128" s="1"/>
      <c r="U128" s="1"/>
    </row>
    <row x14ac:dyDescent="0.25" r="129" customHeight="1" ht="19.5">
      <c r="A129" s="1"/>
      <c r="B129" s="20"/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"/>
      <c r="T129" s="1"/>
      <c r="U129" s="1"/>
    </row>
    <row x14ac:dyDescent="0.25" r="130" customHeight="1" ht="19.5">
      <c r="A130" s="1"/>
      <c r="B130" s="20"/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"/>
      <c r="T130" s="1"/>
      <c r="U130" s="1"/>
    </row>
    <row x14ac:dyDescent="0.25" r="131" customHeight="1" ht="19.5">
      <c r="A131" s="1"/>
      <c r="B131" s="20"/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"/>
      <c r="T131" s="1"/>
      <c r="U131" s="1"/>
    </row>
    <row x14ac:dyDescent="0.25" r="132" customHeight="1" ht="19.5">
      <c r="A132" s="1"/>
      <c r="B132" s="20"/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"/>
      <c r="T132" s="1"/>
      <c r="U132" s="1"/>
    </row>
    <row x14ac:dyDescent="0.25" r="133" customHeight="1" ht="19.5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"/>
      <c r="T133" s="1"/>
      <c r="U133" s="1"/>
    </row>
    <row x14ac:dyDescent="0.25" r="134" customHeight="1" ht="19.5">
      <c r="A134" s="1"/>
      <c r="B134" s="20"/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"/>
      <c r="T134" s="1"/>
      <c r="U134" s="1"/>
    </row>
    <row x14ac:dyDescent="0.25" r="135" customHeight="1" ht="19.5">
      <c r="A135" s="1"/>
      <c r="B135" s="20"/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"/>
      <c r="T135" s="1"/>
      <c r="U135" s="1"/>
    </row>
    <row x14ac:dyDescent="0.25" r="136" customHeight="1" ht="19.5">
      <c r="A136" s="1"/>
      <c r="B136" s="20"/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"/>
      <c r="T136" s="1"/>
      <c r="U136" s="1"/>
    </row>
    <row x14ac:dyDescent="0.25" r="137" customHeight="1" ht="19.5">
      <c r="A137" s="1"/>
      <c r="B137" s="20"/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"/>
      <c r="T137" s="1"/>
      <c r="U137" s="1"/>
    </row>
    <row x14ac:dyDescent="0.25" r="138" customHeight="1" ht="19.5">
      <c r="A138" s="1"/>
      <c r="B138" s="20"/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"/>
      <c r="T138" s="1"/>
      <c r="U138" s="1"/>
    </row>
    <row x14ac:dyDescent="0.25" r="139" customHeight="1" ht="19.5">
      <c r="A139" s="1"/>
      <c r="B139" s="20"/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"/>
      <c r="T139" s="1"/>
      <c r="U139" s="1"/>
    </row>
    <row x14ac:dyDescent="0.25" r="140" customHeight="1" ht="19.5">
      <c r="A140" s="1"/>
      <c r="B140" s="20"/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"/>
      <c r="T140" s="1"/>
      <c r="U140" s="1"/>
    </row>
    <row x14ac:dyDescent="0.25" r="141" customHeight="1" ht="19.5">
      <c r="A141" s="1"/>
      <c r="B141" s="20"/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"/>
      <c r="T141" s="1"/>
      <c r="U141" s="1"/>
    </row>
    <row x14ac:dyDescent="0.25" r="142" customHeight="1" ht="19.5">
      <c r="A142" s="1"/>
      <c r="B142" s="20"/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"/>
      <c r="T142" s="1"/>
      <c r="U142" s="1"/>
    </row>
    <row x14ac:dyDescent="0.25" r="143" customHeight="1" ht="19.5">
      <c r="A143" s="76"/>
      <c r="B143" s="77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"/>
      <c r="T143" s="1"/>
      <c r="U143" s="1"/>
    </row>
    <row x14ac:dyDescent="0.25" r="144" customHeight="1" ht="19.5">
      <c r="A144" s="76"/>
      <c r="B144" s="77"/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"/>
      <c r="T144" s="1"/>
      <c r="U144" s="1"/>
    </row>
    <row x14ac:dyDescent="0.25" r="145" customHeight="1" ht="19.5">
      <c r="A145" s="76"/>
      <c r="B145" s="77"/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"/>
      <c r="T145" s="1"/>
      <c r="U145" s="1"/>
    </row>
    <row x14ac:dyDescent="0.25" r="146" customHeight="1" ht="19.5">
      <c r="A146" s="76"/>
      <c r="B146" s="77"/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"/>
      <c r="T146" s="1"/>
      <c r="U146" s="1"/>
    </row>
    <row x14ac:dyDescent="0.25" r="147" customHeight="1" ht="19.5">
      <c r="A147" s="76"/>
      <c r="B147" s="77"/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"/>
      <c r="T147" s="1"/>
      <c r="U147" s="1"/>
    </row>
    <row x14ac:dyDescent="0.25" r="148" customHeight="1" ht="19.5">
      <c r="A148" s="76"/>
      <c r="B148" s="77"/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"/>
      <c r="T148" s="1"/>
      <c r="U148" s="1"/>
    </row>
    <row x14ac:dyDescent="0.25" r="149" customHeight="1" ht="19.5">
      <c r="A149" s="76"/>
      <c r="B149" s="77"/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"/>
      <c r="T149" s="1"/>
      <c r="U149" s="1"/>
    </row>
    <row x14ac:dyDescent="0.25" r="150" customHeight="1" ht="19.5">
      <c r="A150" s="76"/>
      <c r="B150" s="77"/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"/>
      <c r="T150" s="1"/>
      <c r="U150" s="1"/>
    </row>
    <row x14ac:dyDescent="0.25" r="151" customHeight="1" ht="19.5">
      <c r="A151" s="76"/>
      <c r="B151" s="77"/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"/>
      <c r="T151" s="1"/>
      <c r="U151" s="1"/>
    </row>
    <row x14ac:dyDescent="0.25" r="152" customHeight="1" ht="19.5">
      <c r="A152" s="76"/>
      <c r="B152" s="77"/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"/>
      <c r="T152" s="1"/>
      <c r="U152" s="1"/>
    </row>
    <row x14ac:dyDescent="0.25" r="153" customHeight="1" ht="19.5">
      <c r="A153" s="1"/>
      <c r="B153" s="20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"/>
      <c r="T153" s="1"/>
      <c r="U153" s="1"/>
    </row>
    <row x14ac:dyDescent="0.25" r="154" customHeight="1" ht="19.5">
      <c r="A154" s="1"/>
      <c r="B154" s="20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"/>
      <c r="T154" s="1"/>
      <c r="U154" s="1"/>
    </row>
    <row x14ac:dyDescent="0.25" r="155" customHeight="1" ht="19.5">
      <c r="A155" s="1"/>
      <c r="B155" s="20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"/>
      <c r="T155" s="1"/>
      <c r="U155" s="1"/>
    </row>
    <row x14ac:dyDescent="0.25" r="156" customHeight="1" ht="19.5">
      <c r="A156" s="1"/>
      <c r="B156" s="20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"/>
      <c r="T156" s="1"/>
      <c r="U156" s="1"/>
    </row>
    <row x14ac:dyDescent="0.25" r="157" customHeight="1" ht="19.5">
      <c r="A157" s="1"/>
      <c r="B157" s="20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"/>
      <c r="T157" s="1"/>
      <c r="U157" s="1"/>
    </row>
    <row x14ac:dyDescent="0.25" r="158" customHeight="1" ht="19.5">
      <c r="A158" s="1"/>
      <c r="B158" s="20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"/>
      <c r="T158" s="1"/>
      <c r="U158" s="1"/>
    </row>
    <row x14ac:dyDescent="0.25" r="159" customHeight="1" ht="19.5">
      <c r="A159" s="1"/>
      <c r="B159" s="20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"/>
      <c r="T159" s="1"/>
      <c r="U159" s="1"/>
    </row>
    <row x14ac:dyDescent="0.25" r="160" customHeight="1" ht="19.5">
      <c r="A160" s="1"/>
      <c r="B160" s="20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"/>
      <c r="T160" s="1"/>
      <c r="U160" s="1"/>
    </row>
    <row x14ac:dyDescent="0.25" r="161" customHeight="1" ht="19.5">
      <c r="A161" s="1"/>
      <c r="B161" s="20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"/>
      <c r="T161" s="1"/>
      <c r="U161" s="1"/>
    </row>
    <row x14ac:dyDescent="0.25" r="162" customHeight="1" ht="19.5">
      <c r="A162" s="1"/>
      <c r="B162" s="20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"/>
      <c r="T162" s="1"/>
      <c r="U162" s="1"/>
    </row>
    <row x14ac:dyDescent="0.25" r="163" customHeight="1" ht="19.5">
      <c r="A163" s="1"/>
      <c r="B163" s="20"/>
      <c r="C163" s="48" t="s">
        <v>47</v>
      </c>
      <c r="D163" s="48"/>
      <c r="E163" s="48"/>
      <c r="F163" s="48"/>
      <c r="G163" s="48"/>
      <c r="H163" s="48"/>
      <c r="I163" s="48"/>
      <c r="J163" s="48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"/>
      <c r="T163" s="1"/>
      <c r="U163" s="1"/>
    </row>
    <row x14ac:dyDescent="0.25" r="164" customHeight="1" ht="19.5">
      <c r="A164" s="1"/>
      <c r="B164" s="20" t="s">
        <v>6</v>
      </c>
      <c r="C164" s="27" t="s">
        <v>7</v>
      </c>
      <c r="D164" s="2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29"/>
      <c r="N164" s="30"/>
      <c r="O164" s="1"/>
      <c r="P164" s="10"/>
      <c r="Q164" s="10"/>
      <c r="R164" s="10"/>
      <c r="S164" s="1"/>
      <c r="T164" s="1"/>
      <c r="U164" s="1"/>
    </row>
    <row x14ac:dyDescent="0.25" r="165" customHeight="1" ht="19.5">
      <c r="A165" s="1"/>
      <c r="B165" s="20">
        <v>1</v>
      </c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"/>
      <c r="T165" s="1"/>
      <c r="U165" s="1"/>
    </row>
    <row x14ac:dyDescent="0.25" r="166" customHeight="1" ht="19.5">
      <c r="A166" s="1"/>
      <c r="B166" s="20">
        <v>2</v>
      </c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"/>
      <c r="T166" s="1"/>
      <c r="U166" s="1"/>
    </row>
    <row x14ac:dyDescent="0.25" r="167" customHeight="1" ht="19.5">
      <c r="A167" s="1"/>
      <c r="B167" s="20">
        <v>3</v>
      </c>
      <c r="C167" s="71"/>
      <c r="D167" s="71"/>
      <c r="E167" s="71"/>
      <c r="F167" s="71"/>
      <c r="G167" s="72"/>
      <c r="H167" s="73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"/>
      <c r="T167" s="1"/>
      <c r="U167" s="1"/>
    </row>
    <row x14ac:dyDescent="0.25" r="168" customHeight="1" ht="19.5">
      <c r="A168" s="1"/>
      <c r="B168" s="20">
        <v>4</v>
      </c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"/>
      <c r="T168" s="1"/>
      <c r="U168" s="1"/>
    </row>
    <row x14ac:dyDescent="0.25" r="169" customHeight="1" ht="19.5">
      <c r="A169" s="1"/>
      <c r="B169" s="20">
        <v>5</v>
      </c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"/>
      <c r="T169" s="1"/>
      <c r="U169" s="1"/>
    </row>
    <row x14ac:dyDescent="0.25" r="170" customHeight="1" ht="19.5">
      <c r="A170" s="1"/>
      <c r="B170" s="20">
        <v>6</v>
      </c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"/>
      <c r="T170" s="1"/>
      <c r="U170" s="1"/>
    </row>
    <row x14ac:dyDescent="0.25" r="171" customHeight="1" ht="19.5">
      <c r="A171" s="1"/>
      <c r="B171" s="20">
        <v>7</v>
      </c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"/>
      <c r="T171" s="1"/>
      <c r="U171" s="1"/>
    </row>
    <row x14ac:dyDescent="0.25" r="172" customHeight="1" ht="19.5">
      <c r="A172" s="1"/>
      <c r="B172" s="20">
        <v>8</v>
      </c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47"/>
      <c r="N172" s="17"/>
      <c r="O172" s="1"/>
      <c r="P172" s="10"/>
      <c r="Q172" s="10"/>
      <c r="R172" s="10"/>
      <c r="S172" s="1"/>
      <c r="T172" s="1"/>
      <c r="U172" s="1"/>
    </row>
    <row x14ac:dyDescent="0.25" r="173" customHeight="1" ht="19.5">
      <c r="A173" s="76"/>
      <c r="B173" s="77"/>
      <c r="C173" s="48" t="s">
        <v>47</v>
      </c>
      <c r="D173" s="48"/>
      <c r="E173" s="48"/>
      <c r="F173" s="48"/>
      <c r="G173" s="48"/>
      <c r="H173" s="48"/>
      <c r="I173" s="48"/>
      <c r="J173" s="48"/>
      <c r="K173" s="122" t="s">
        <v>5</v>
      </c>
      <c r="L173" s="23">
        <v>0.5</v>
      </c>
      <c r="M173" s="24">
        <f>SUM(K175:K182)</f>
      </c>
      <c r="N173" s="25">
        <f>SUM(L175:L182)</f>
      </c>
      <c r="O173" s="19"/>
      <c r="P173" s="10"/>
      <c r="Q173" s="10"/>
      <c r="R173" s="10"/>
      <c r="S173" s="1"/>
      <c r="T173" s="1"/>
      <c r="U173" s="1"/>
    </row>
    <row x14ac:dyDescent="0.25" r="174" customHeight="1" ht="19.5">
      <c r="A174" s="76"/>
      <c r="B174" s="77"/>
      <c r="C174" s="27" t="s">
        <v>7</v>
      </c>
      <c r="D174" s="27"/>
      <c r="E174" s="27" t="s">
        <v>8</v>
      </c>
      <c r="F174" s="27" t="s">
        <v>9</v>
      </c>
      <c r="G174" s="27" t="s">
        <v>10</v>
      </c>
      <c r="H174" s="27" t="s">
        <v>11</v>
      </c>
      <c r="I174" s="27" t="s">
        <v>12</v>
      </c>
      <c r="J174" s="27" t="s">
        <v>13</v>
      </c>
      <c r="K174" s="28" t="s">
        <v>14</v>
      </c>
      <c r="L174" s="28" t="s">
        <v>15</v>
      </c>
      <c r="M174" s="29"/>
      <c r="N174" s="30"/>
      <c r="O174" s="1"/>
      <c r="P174" s="10"/>
      <c r="Q174" s="10"/>
      <c r="R174" s="10"/>
      <c r="S174" s="1"/>
      <c r="T174" s="1"/>
      <c r="U174" s="1"/>
    </row>
    <row x14ac:dyDescent="0.25" r="175" customHeight="1" ht="19.5">
      <c r="A175" s="76"/>
      <c r="B175" s="77"/>
      <c r="C175" s="71"/>
      <c r="D175" s="71"/>
      <c r="E175" s="71"/>
      <c r="F175" s="71"/>
      <c r="G175" s="72"/>
      <c r="H175" s="73"/>
      <c r="I175" s="74"/>
      <c r="J175" s="74"/>
      <c r="K175" s="36">
        <f>(I175+J175)*10000</f>
      </c>
      <c r="L175" s="36">
        <f>K175*L173</f>
      </c>
      <c r="M175" s="34"/>
      <c r="N175" s="10"/>
      <c r="O175" s="1"/>
      <c r="P175" s="10"/>
      <c r="Q175" s="10"/>
      <c r="R175" s="10"/>
      <c r="S175" s="1"/>
      <c r="T175" s="1"/>
      <c r="U175" s="1"/>
    </row>
    <row x14ac:dyDescent="0.25" r="176" customHeight="1" ht="19.5">
      <c r="A176" s="76"/>
      <c r="B176" s="77"/>
      <c r="C176" s="71"/>
      <c r="D176" s="71"/>
      <c r="E176" s="71"/>
      <c r="F176" s="71"/>
      <c r="G176" s="72"/>
      <c r="H176" s="73"/>
      <c r="I176" s="74"/>
      <c r="J176" s="74"/>
      <c r="K176" s="36">
        <f>(I176+J176)*10000</f>
      </c>
      <c r="L176" s="36">
        <f>K176*L173</f>
      </c>
      <c r="M176" s="34"/>
      <c r="N176" s="10"/>
      <c r="O176" s="1"/>
      <c r="P176" s="10"/>
      <c r="Q176" s="10"/>
      <c r="R176" s="10"/>
      <c r="S176" s="1"/>
      <c r="T176" s="1"/>
      <c r="U176" s="1"/>
    </row>
    <row x14ac:dyDescent="0.25" r="177" customHeight="1" ht="19.5">
      <c r="A177" s="76"/>
      <c r="B177" s="77"/>
      <c r="C177" s="71"/>
      <c r="D177" s="71"/>
      <c r="E177" s="71"/>
      <c r="F177" s="71"/>
      <c r="G177" s="72"/>
      <c r="H177" s="73"/>
      <c r="I177" s="74"/>
      <c r="J177" s="74"/>
      <c r="K177" s="36">
        <f>(I177+J177)*10000</f>
      </c>
      <c r="L177" s="36">
        <f>K177*L173</f>
      </c>
      <c r="M177" s="34"/>
      <c r="N177" s="10"/>
      <c r="O177" s="1"/>
      <c r="P177" s="10"/>
      <c r="Q177" s="10"/>
      <c r="R177" s="10"/>
      <c r="S177" s="1"/>
      <c r="T177" s="1"/>
      <c r="U177" s="1"/>
    </row>
    <row x14ac:dyDescent="0.25" r="178" customHeight="1" ht="19.5">
      <c r="A178" s="76"/>
      <c r="B178" s="77"/>
      <c r="C178" s="71"/>
      <c r="D178" s="71"/>
      <c r="E178" s="71"/>
      <c r="F178" s="71"/>
      <c r="G178" s="73"/>
      <c r="H178" s="73"/>
      <c r="I178" s="74"/>
      <c r="J178" s="74"/>
      <c r="K178" s="36">
        <f>(I178+J178)*10000</f>
      </c>
      <c r="L178" s="36">
        <f>K178*L173</f>
      </c>
      <c r="M178" s="34"/>
      <c r="N178" s="10"/>
      <c r="O178" s="1"/>
      <c r="P178" s="10"/>
      <c r="Q178" s="10"/>
      <c r="R178" s="10"/>
      <c r="S178" s="1"/>
      <c r="T178" s="1"/>
      <c r="U178" s="1"/>
    </row>
    <row x14ac:dyDescent="0.25" r="179" customHeight="1" ht="19.5">
      <c r="A179" s="76"/>
      <c r="B179" s="77"/>
      <c r="C179" s="71"/>
      <c r="D179" s="71"/>
      <c r="E179" s="71"/>
      <c r="F179" s="71"/>
      <c r="G179" s="72"/>
      <c r="H179" s="73"/>
      <c r="I179" s="74"/>
      <c r="J179" s="74"/>
      <c r="K179" s="36">
        <f>(I179+J179)*10000</f>
      </c>
      <c r="L179" s="36">
        <f>K179*L173</f>
      </c>
      <c r="M179" s="34"/>
      <c r="N179" s="10"/>
      <c r="O179" s="1"/>
      <c r="P179" s="10"/>
      <c r="Q179" s="10"/>
      <c r="R179" s="10"/>
      <c r="S179" s="1"/>
      <c r="T179" s="1"/>
      <c r="U179" s="1"/>
    </row>
    <row x14ac:dyDescent="0.25" r="180" customHeight="1" ht="19.5">
      <c r="A180" s="76"/>
      <c r="B180" s="77"/>
      <c r="C180" s="71"/>
      <c r="D180" s="71"/>
      <c r="E180" s="71"/>
      <c r="F180" s="71"/>
      <c r="G180" s="73"/>
      <c r="H180" s="73"/>
      <c r="I180" s="74"/>
      <c r="J180" s="74"/>
      <c r="K180" s="36">
        <f>(I180+J180)*10000</f>
      </c>
      <c r="L180" s="36">
        <f>K180*L173</f>
      </c>
      <c r="M180" s="34"/>
      <c r="N180" s="10"/>
      <c r="O180" s="1"/>
      <c r="P180" s="10"/>
      <c r="Q180" s="10"/>
      <c r="R180" s="10"/>
      <c r="S180" s="1"/>
      <c r="T180" s="1"/>
      <c r="U180" s="1"/>
    </row>
    <row x14ac:dyDescent="0.25" r="181" customHeight="1" ht="19.5">
      <c r="A181" s="76"/>
      <c r="B181" s="77"/>
      <c r="C181" s="71"/>
      <c r="D181" s="75"/>
      <c r="E181" s="71"/>
      <c r="F181" s="71"/>
      <c r="G181" s="73"/>
      <c r="H181" s="73"/>
      <c r="I181" s="74"/>
      <c r="J181" s="74"/>
      <c r="K181" s="36">
        <f>(I181+J181)*10000</f>
      </c>
      <c r="L181" s="36">
        <f>K181*L173</f>
      </c>
      <c r="M181" s="34"/>
      <c r="N181" s="10"/>
      <c r="O181" s="1"/>
      <c r="P181" s="10"/>
      <c r="Q181" s="10"/>
      <c r="R181" s="10"/>
      <c r="S181" s="1"/>
      <c r="T181" s="1"/>
      <c r="U181" s="1"/>
    </row>
    <row x14ac:dyDescent="0.25" r="182" customHeight="1" ht="19.5">
      <c r="A182" s="76"/>
      <c r="B182" s="77"/>
      <c r="C182" s="71"/>
      <c r="D182" s="75"/>
      <c r="E182" s="71"/>
      <c r="F182" s="71"/>
      <c r="G182" s="73"/>
      <c r="H182" s="73"/>
      <c r="I182" s="74"/>
      <c r="J182" s="74"/>
      <c r="K182" s="36">
        <f>(I182+J182)*10000</f>
      </c>
      <c r="L182" s="36">
        <f>K182*L173</f>
      </c>
      <c r="M182" s="47"/>
      <c r="N182" s="17"/>
      <c r="O182" s="1"/>
      <c r="P182" s="10"/>
      <c r="Q182" s="10"/>
      <c r="R182" s="10"/>
      <c r="S182" s="1"/>
      <c r="T182" s="1"/>
      <c r="U182" s="1"/>
    </row>
    <row x14ac:dyDescent="0.25" r="183" customHeight="1" ht="19.5">
      <c r="A183" s="76"/>
      <c r="B183" s="77"/>
      <c r="C183" s="48" t="s">
        <v>47</v>
      </c>
      <c r="D183" s="48"/>
      <c r="E183" s="48"/>
      <c r="F183" s="48"/>
      <c r="G183" s="48"/>
      <c r="H183" s="48"/>
      <c r="I183" s="48"/>
      <c r="J183" s="48"/>
      <c r="K183" s="122" t="s">
        <v>5</v>
      </c>
      <c r="L183" s="23">
        <v>0.5</v>
      </c>
      <c r="M183" s="24">
        <f>SUM(K185:K192)</f>
      </c>
      <c r="N183" s="25">
        <f>SUM(L185:L192)</f>
      </c>
      <c r="O183" s="19"/>
      <c r="P183" s="10"/>
      <c r="Q183" s="10"/>
      <c r="R183" s="10"/>
      <c r="S183" s="1"/>
      <c r="T183" s="1"/>
      <c r="U183" s="1"/>
    </row>
    <row x14ac:dyDescent="0.25" r="184" customHeight="1" ht="19.5">
      <c r="A184" s="76"/>
      <c r="B184" s="77"/>
      <c r="C184" s="27" t="s">
        <v>7</v>
      </c>
      <c r="D184" s="27"/>
      <c r="E184" s="27" t="s">
        <v>8</v>
      </c>
      <c r="F184" s="27" t="s">
        <v>9</v>
      </c>
      <c r="G184" s="27" t="s">
        <v>10</v>
      </c>
      <c r="H184" s="27" t="s">
        <v>11</v>
      </c>
      <c r="I184" s="27" t="s">
        <v>12</v>
      </c>
      <c r="J184" s="27" t="s">
        <v>13</v>
      </c>
      <c r="K184" s="28" t="s">
        <v>14</v>
      </c>
      <c r="L184" s="28" t="s">
        <v>15</v>
      </c>
      <c r="M184" s="29"/>
      <c r="N184" s="30"/>
      <c r="O184" s="1"/>
      <c r="P184" s="10"/>
      <c r="Q184" s="10"/>
      <c r="R184" s="10"/>
      <c r="S184" s="1"/>
      <c r="T184" s="1"/>
      <c r="U184" s="1"/>
    </row>
    <row x14ac:dyDescent="0.25" r="185" customHeight="1" ht="19.5">
      <c r="A185" s="76"/>
      <c r="B185" s="77"/>
      <c r="C185" s="71"/>
      <c r="D185" s="71"/>
      <c r="E185" s="71"/>
      <c r="F185" s="71"/>
      <c r="G185" s="72"/>
      <c r="H185" s="73"/>
      <c r="I185" s="74"/>
      <c r="J185" s="74"/>
      <c r="K185" s="36">
        <f>(I185+J185)*10000</f>
      </c>
      <c r="L185" s="36">
        <f>K185*L183</f>
      </c>
      <c r="M185" s="34"/>
      <c r="N185" s="10"/>
      <c r="O185" s="1"/>
      <c r="P185" s="10"/>
      <c r="Q185" s="10"/>
      <c r="R185" s="10"/>
      <c r="S185" s="1"/>
      <c r="T185" s="1"/>
      <c r="U185" s="1"/>
    </row>
    <row x14ac:dyDescent="0.25" r="186" customHeight="1" ht="19.5">
      <c r="A186" s="76"/>
      <c r="B186" s="77"/>
      <c r="C186" s="71"/>
      <c r="D186" s="71"/>
      <c r="E186" s="71"/>
      <c r="F186" s="71"/>
      <c r="G186" s="72"/>
      <c r="H186" s="73"/>
      <c r="I186" s="74"/>
      <c r="J186" s="74"/>
      <c r="K186" s="36">
        <f>(I186+J186)*10000</f>
      </c>
      <c r="L186" s="36">
        <f>K186*L183</f>
      </c>
      <c r="M186" s="34"/>
      <c r="N186" s="10"/>
      <c r="O186" s="1"/>
      <c r="P186" s="10"/>
      <c r="Q186" s="10"/>
      <c r="R186" s="10"/>
      <c r="S186" s="1"/>
      <c r="T186" s="1"/>
      <c r="U186" s="1"/>
    </row>
    <row x14ac:dyDescent="0.25" r="187" customHeight="1" ht="19.5">
      <c r="A187" s="76"/>
      <c r="B187" s="77"/>
      <c r="C187" s="71"/>
      <c r="D187" s="71"/>
      <c r="E187" s="71"/>
      <c r="F187" s="71"/>
      <c r="G187" s="72"/>
      <c r="H187" s="73"/>
      <c r="I187" s="74"/>
      <c r="J187" s="74"/>
      <c r="K187" s="36">
        <f>(I187+J187)*10000</f>
      </c>
      <c r="L187" s="36">
        <f>K187*L183</f>
      </c>
      <c r="M187" s="34"/>
      <c r="N187" s="10"/>
      <c r="O187" s="1"/>
      <c r="P187" s="10"/>
      <c r="Q187" s="10"/>
      <c r="R187" s="10"/>
      <c r="S187" s="1"/>
      <c r="T187" s="1"/>
      <c r="U187" s="1"/>
    </row>
    <row x14ac:dyDescent="0.25" r="188" customHeight="1" ht="19.5">
      <c r="A188" s="76"/>
      <c r="B188" s="77"/>
      <c r="C188" s="71"/>
      <c r="D188" s="71"/>
      <c r="E188" s="71"/>
      <c r="F188" s="71"/>
      <c r="G188" s="73"/>
      <c r="H188" s="73"/>
      <c r="I188" s="74"/>
      <c r="J188" s="74"/>
      <c r="K188" s="36">
        <f>(I188+J188)*10000</f>
      </c>
      <c r="L188" s="36">
        <f>K188*L183</f>
      </c>
      <c r="M188" s="34"/>
      <c r="N188" s="10"/>
      <c r="O188" s="1"/>
      <c r="P188" s="10"/>
      <c r="Q188" s="10"/>
      <c r="R188" s="10"/>
      <c r="S188" s="1"/>
      <c r="T188" s="1"/>
      <c r="U188" s="1"/>
    </row>
    <row x14ac:dyDescent="0.25" r="189" customHeight="1" ht="19.5">
      <c r="A189" s="76"/>
      <c r="B189" s="77"/>
      <c r="C189" s="71"/>
      <c r="D189" s="71"/>
      <c r="E189" s="71"/>
      <c r="F189" s="71"/>
      <c r="G189" s="72"/>
      <c r="H189" s="73"/>
      <c r="I189" s="74"/>
      <c r="J189" s="74"/>
      <c r="K189" s="36">
        <f>(I189+J189)*10000</f>
      </c>
      <c r="L189" s="36">
        <f>K189*L183</f>
      </c>
      <c r="M189" s="34"/>
      <c r="N189" s="10"/>
      <c r="O189" s="1"/>
      <c r="P189" s="10"/>
      <c r="Q189" s="10"/>
      <c r="R189" s="10"/>
      <c r="S189" s="1"/>
      <c r="T189" s="1"/>
      <c r="U189" s="1"/>
    </row>
    <row x14ac:dyDescent="0.25" r="190" customHeight="1" ht="19.5">
      <c r="A190" s="76"/>
      <c r="B190" s="77"/>
      <c r="C190" s="71"/>
      <c r="D190" s="71"/>
      <c r="E190" s="71"/>
      <c r="F190" s="71"/>
      <c r="G190" s="73"/>
      <c r="H190" s="73"/>
      <c r="I190" s="74"/>
      <c r="J190" s="74"/>
      <c r="K190" s="36">
        <f>(I190+J190)*10000</f>
      </c>
      <c r="L190" s="36">
        <f>K190*L183</f>
      </c>
      <c r="M190" s="34"/>
      <c r="N190" s="10"/>
      <c r="O190" s="1"/>
      <c r="P190" s="10"/>
      <c r="Q190" s="10"/>
      <c r="R190" s="10"/>
      <c r="S190" s="1"/>
      <c r="T190" s="1"/>
      <c r="U190" s="1"/>
    </row>
    <row x14ac:dyDescent="0.25" r="191" customHeight="1" ht="19.5">
      <c r="A191" s="76"/>
      <c r="B191" s="77"/>
      <c r="C191" s="71"/>
      <c r="D191" s="75"/>
      <c r="E191" s="71"/>
      <c r="F191" s="71"/>
      <c r="G191" s="73"/>
      <c r="H191" s="73"/>
      <c r="I191" s="74"/>
      <c r="J191" s="74"/>
      <c r="K191" s="36">
        <f>(I191+J191)*10000</f>
      </c>
      <c r="L191" s="36">
        <f>K191*L183</f>
      </c>
      <c r="M191" s="34"/>
      <c r="N191" s="10"/>
      <c r="O191" s="1"/>
      <c r="P191" s="10"/>
      <c r="Q191" s="10"/>
      <c r="R191" s="10"/>
      <c r="S191" s="1"/>
      <c r="T191" s="1"/>
      <c r="U191" s="1"/>
    </row>
    <row x14ac:dyDescent="0.25" r="192" customHeight="1" ht="19.5">
      <c r="A192" s="76"/>
      <c r="B192" s="77"/>
      <c r="C192" s="71"/>
      <c r="D192" s="75"/>
      <c r="E192" s="71"/>
      <c r="F192" s="71"/>
      <c r="G192" s="73"/>
      <c r="H192" s="73"/>
      <c r="I192" s="74"/>
      <c r="J192" s="74"/>
      <c r="K192" s="36">
        <f>(I192+J192)*10000</f>
      </c>
      <c r="L192" s="36">
        <f>K192*L183</f>
      </c>
      <c r="M192" s="34"/>
      <c r="N192" s="10"/>
      <c r="O192" s="1"/>
      <c r="P192" s="10"/>
      <c r="Q192" s="10"/>
      <c r="R192" s="10"/>
      <c r="S192" s="1"/>
      <c r="T192" s="1"/>
      <c r="U192" s="1"/>
    </row>
    <row x14ac:dyDescent="0.25" r="193" customHeight="1" ht="19.5">
      <c r="A193" s="1"/>
      <c r="B193" s="10"/>
      <c r="C193" s="142"/>
      <c r="D193" s="142"/>
      <c r="E193" s="142"/>
      <c r="F193" s="142"/>
      <c r="G193" s="143"/>
      <c r="H193" s="143"/>
      <c r="I193" s="18"/>
      <c r="J193" s="18"/>
      <c r="K193" s="18"/>
      <c r="L193" s="18"/>
      <c r="M193" s="10"/>
      <c r="N193" s="10"/>
      <c r="O193" s="1"/>
      <c r="P193" s="10"/>
      <c r="Q193" s="10"/>
      <c r="R193" s="10"/>
      <c r="S193" s="1"/>
      <c r="T193" s="1"/>
      <c r="U193" s="1"/>
    </row>
  </sheetData>
  <mergeCells count="58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C14:D14"/>
    <mergeCell ref="M14:N14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  <mergeCell ref="C173:J173"/>
    <mergeCell ref="C174:D174"/>
    <mergeCell ref="M174:N174"/>
    <mergeCell ref="C183:J183"/>
    <mergeCell ref="C184:D184"/>
    <mergeCell ref="M184:N18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4"/>
  <sheetViews>
    <sheetView workbookViewId="0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1.005" customWidth="1" bestFit="1"/>
    <col min="4" max="4" style="8" width="14.43357142857143" customWidth="1" bestFit="1"/>
    <col min="5" max="5" style="8" width="7.433571428571429" customWidth="1" bestFit="1"/>
    <col min="6" max="6" style="8" width="7.433571428571429" customWidth="1" bestFit="1"/>
    <col min="7" max="7" style="8" width="7.147857142857143" customWidth="1" bestFit="1"/>
    <col min="8" max="8" style="8" width="7.433571428571429" customWidth="1" bestFit="1"/>
    <col min="9" max="9" style="8" width="7.433571428571429" customWidth="1" bestFit="1"/>
    <col min="10" max="10" style="8" width="7.433571428571429" customWidth="1" bestFit="1"/>
    <col min="11" max="11" style="207" width="7.433571428571429" customWidth="1" bestFit="1"/>
    <col min="12" max="12" style="8" width="43.29071428571429" customWidth="1" bestFit="1"/>
  </cols>
  <sheetData>
    <row x14ac:dyDescent="0.25" r="1" customHeight="1" ht="19.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47"/>
    </row>
    <row x14ac:dyDescent="0.25" r="2" customHeight="1" ht="19.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8"/>
      <c r="L2" s="147"/>
    </row>
    <row x14ac:dyDescent="0.25" r="3" customHeight="1" ht="19.5">
      <c r="A3" s="147"/>
      <c r="B3" s="147"/>
      <c r="C3" s="149" t="s">
        <v>48</v>
      </c>
      <c r="D3" s="149" t="s">
        <v>9</v>
      </c>
      <c r="E3" s="150" t="s">
        <v>49</v>
      </c>
      <c r="F3" s="151" t="s">
        <v>50</v>
      </c>
      <c r="G3" s="152"/>
      <c r="H3" s="151" t="s">
        <v>51</v>
      </c>
      <c r="I3" s="153"/>
      <c r="J3" s="152"/>
      <c r="K3" s="154" t="s">
        <v>5</v>
      </c>
      <c r="L3" s="149" t="s">
        <v>52</v>
      </c>
    </row>
    <row x14ac:dyDescent="0.25" r="4" customHeight="1" ht="19.5">
      <c r="A4" s="147"/>
      <c r="B4" s="147"/>
      <c r="C4" s="153"/>
      <c r="D4" s="153"/>
      <c r="E4" s="152"/>
      <c r="F4" s="155" t="s">
        <v>53</v>
      </c>
      <c r="G4" s="156" t="s">
        <v>54</v>
      </c>
      <c r="H4" s="157" t="s">
        <v>55</v>
      </c>
      <c r="I4" s="158" t="s">
        <v>56</v>
      </c>
      <c r="J4" s="159" t="s">
        <v>57</v>
      </c>
      <c r="K4" s="160"/>
      <c r="L4" s="153"/>
    </row>
    <row x14ac:dyDescent="0.25" r="5" customHeight="1" ht="19.5">
      <c r="A5" s="147"/>
      <c r="B5" s="147"/>
      <c r="C5" s="161" t="s">
        <v>58</v>
      </c>
      <c r="D5" s="162" t="s">
        <v>59</v>
      </c>
      <c r="E5" s="163" t="s">
        <v>60</v>
      </c>
      <c r="F5" s="164" t="s">
        <v>61</v>
      </c>
      <c r="G5" s="165" t="s">
        <v>61</v>
      </c>
      <c r="H5" s="166" t="s">
        <v>62</v>
      </c>
      <c r="I5" s="167" t="s">
        <v>62</v>
      </c>
      <c r="J5" s="168" t="s">
        <v>62</v>
      </c>
      <c r="K5" s="169">
        <v>0.5</v>
      </c>
      <c r="L5" s="170" t="s">
        <v>63</v>
      </c>
    </row>
    <row x14ac:dyDescent="0.25" r="6" customHeight="1" ht="19.5">
      <c r="A6" s="147"/>
      <c r="B6" s="147"/>
      <c r="C6" s="161" t="s">
        <v>64</v>
      </c>
      <c r="D6" s="162" t="s">
        <v>65</v>
      </c>
      <c r="E6" s="163" t="s">
        <v>60</v>
      </c>
      <c r="F6" s="164" t="s">
        <v>61</v>
      </c>
      <c r="G6" s="165" t="s">
        <v>61</v>
      </c>
      <c r="H6" s="164" t="s">
        <v>61</v>
      </c>
      <c r="I6" s="167" t="s">
        <v>62</v>
      </c>
      <c r="J6" s="168" t="s">
        <v>62</v>
      </c>
      <c r="K6" s="169">
        <v>0.5</v>
      </c>
      <c r="L6" s="171" t="s">
        <v>66</v>
      </c>
    </row>
    <row x14ac:dyDescent="0.25" r="7" customHeight="1" ht="19.5">
      <c r="A7" s="147"/>
      <c r="B7" s="147"/>
      <c r="C7" s="172" t="s">
        <v>67</v>
      </c>
      <c r="D7" s="173" t="s">
        <v>68</v>
      </c>
      <c r="E7" s="174" t="s">
        <v>60</v>
      </c>
      <c r="F7" s="164" t="s">
        <v>61</v>
      </c>
      <c r="G7" s="165" t="s">
        <v>61</v>
      </c>
      <c r="H7" s="164" t="s">
        <v>61</v>
      </c>
      <c r="I7" s="175" t="s">
        <v>62</v>
      </c>
      <c r="J7" s="176" t="s">
        <v>62</v>
      </c>
      <c r="K7" s="177">
        <v>0.5</v>
      </c>
      <c r="L7" s="178" t="s">
        <v>69</v>
      </c>
    </row>
    <row x14ac:dyDescent="0.25" r="8" customHeight="1" ht="19.5">
      <c r="A8" s="147"/>
      <c r="B8" s="147"/>
      <c r="C8" s="161" t="s">
        <v>70</v>
      </c>
      <c r="D8" s="162" t="s">
        <v>71</v>
      </c>
      <c r="E8" s="163" t="s">
        <v>72</v>
      </c>
      <c r="F8" s="165" t="s">
        <v>61</v>
      </c>
      <c r="G8" s="165" t="s">
        <v>61</v>
      </c>
      <c r="H8" s="166" t="s">
        <v>62</v>
      </c>
      <c r="I8" s="179" t="s">
        <v>73</v>
      </c>
      <c r="J8" s="168" t="s">
        <v>62</v>
      </c>
      <c r="K8" s="169">
        <v>0.5</v>
      </c>
      <c r="L8" s="170" t="s">
        <v>74</v>
      </c>
    </row>
    <row x14ac:dyDescent="0.25" r="9" customHeight="1" ht="19.5">
      <c r="A9" s="147"/>
      <c r="B9" s="147"/>
      <c r="C9" s="172" t="s">
        <v>75</v>
      </c>
      <c r="D9" s="173" t="s">
        <v>76</v>
      </c>
      <c r="E9" s="174" t="s">
        <v>72</v>
      </c>
      <c r="F9" s="164" t="s">
        <v>61</v>
      </c>
      <c r="G9" s="165" t="s">
        <v>61</v>
      </c>
      <c r="H9" s="164" t="s">
        <v>61</v>
      </c>
      <c r="I9" s="167" t="s">
        <v>62</v>
      </c>
      <c r="J9" s="168" t="s">
        <v>62</v>
      </c>
      <c r="K9" s="177">
        <v>0.5</v>
      </c>
      <c r="L9" s="179" t="s">
        <v>77</v>
      </c>
    </row>
    <row x14ac:dyDescent="0.25" r="10" customHeight="1" ht="19.5">
      <c r="A10" s="147"/>
      <c r="B10" s="147"/>
      <c r="C10" s="162" t="s">
        <v>78</v>
      </c>
      <c r="D10" s="162" t="s">
        <v>79</v>
      </c>
      <c r="E10" s="163" t="s">
        <v>80</v>
      </c>
      <c r="F10" s="164" t="s">
        <v>61</v>
      </c>
      <c r="G10" s="165" t="s">
        <v>61</v>
      </c>
      <c r="H10" s="166" t="s">
        <v>62</v>
      </c>
      <c r="I10" s="167" t="s">
        <v>62</v>
      </c>
      <c r="J10" s="168" t="s">
        <v>62</v>
      </c>
      <c r="K10" s="169">
        <v>0.5</v>
      </c>
      <c r="L10" s="170" t="s">
        <v>63</v>
      </c>
    </row>
    <row x14ac:dyDescent="0.25" r="11" customHeight="1" ht="19.5">
      <c r="A11" s="147"/>
      <c r="B11" s="147"/>
      <c r="C11" s="162" t="s">
        <v>81</v>
      </c>
      <c r="D11" s="162" t="s">
        <v>82</v>
      </c>
      <c r="E11" s="163" t="s">
        <v>80</v>
      </c>
      <c r="F11" s="164" t="s">
        <v>61</v>
      </c>
      <c r="G11" s="165" t="s">
        <v>61</v>
      </c>
      <c r="H11" s="180" t="s">
        <v>73</v>
      </c>
      <c r="I11" s="170" t="s">
        <v>73</v>
      </c>
      <c r="J11" s="168" t="s">
        <v>62</v>
      </c>
      <c r="K11" s="169">
        <v>0.5</v>
      </c>
      <c r="L11" s="181" t="s">
        <v>83</v>
      </c>
    </row>
    <row x14ac:dyDescent="0.25" r="12" customHeight="1" ht="19.5">
      <c r="A12" s="147"/>
      <c r="B12" s="147"/>
      <c r="C12" s="161" t="s">
        <v>84</v>
      </c>
      <c r="D12" s="162" t="s">
        <v>85</v>
      </c>
      <c r="E12" s="163" t="s">
        <v>80</v>
      </c>
      <c r="F12" s="164" t="s">
        <v>61</v>
      </c>
      <c r="G12" s="165" t="s">
        <v>61</v>
      </c>
      <c r="H12" s="166" t="s">
        <v>62</v>
      </c>
      <c r="I12" s="167" t="s">
        <v>62</v>
      </c>
      <c r="J12" s="168" t="s">
        <v>62</v>
      </c>
      <c r="K12" s="169">
        <v>0.65</v>
      </c>
      <c r="L12" s="170" t="s">
        <v>86</v>
      </c>
    </row>
    <row x14ac:dyDescent="0.25" r="13" customHeight="1" ht="19.5">
      <c r="A13" s="147"/>
      <c r="B13" s="147"/>
      <c r="C13" s="161" t="s">
        <v>87</v>
      </c>
      <c r="D13" s="162" t="s">
        <v>88</v>
      </c>
      <c r="E13" s="163" t="s">
        <v>89</v>
      </c>
      <c r="F13" s="164" t="s">
        <v>61</v>
      </c>
      <c r="G13" s="165" t="s">
        <v>61</v>
      </c>
      <c r="H13" s="166" t="s">
        <v>62</v>
      </c>
      <c r="I13" s="167" t="s">
        <v>62</v>
      </c>
      <c r="J13" s="168" t="s">
        <v>62</v>
      </c>
      <c r="K13" s="169">
        <v>0.6</v>
      </c>
      <c r="L13" s="170" t="s">
        <v>90</v>
      </c>
    </row>
    <row x14ac:dyDescent="0.25" r="14" customHeight="1" ht="19.5">
      <c r="A14" s="147"/>
      <c r="B14" s="147"/>
      <c r="C14" s="161" t="s">
        <v>91</v>
      </c>
      <c r="D14" s="162" t="s">
        <v>92</v>
      </c>
      <c r="E14" s="163" t="s">
        <v>93</v>
      </c>
      <c r="F14" s="166" t="s">
        <v>62</v>
      </c>
      <c r="G14" s="168" t="s">
        <v>62</v>
      </c>
      <c r="H14" s="166" t="s">
        <v>62</v>
      </c>
      <c r="I14" s="167" t="s">
        <v>62</v>
      </c>
      <c r="J14" s="168" t="s">
        <v>62</v>
      </c>
      <c r="K14" s="169">
        <v>0.6</v>
      </c>
      <c r="L14" s="182" t="s">
        <v>94</v>
      </c>
    </row>
    <row x14ac:dyDescent="0.25" r="15" customHeight="1" ht="19.5">
      <c r="A15" s="147"/>
      <c r="B15" s="147"/>
      <c r="C15" s="161" t="s">
        <v>95</v>
      </c>
      <c r="D15" s="162" t="s">
        <v>96</v>
      </c>
      <c r="E15" s="163" t="s">
        <v>95</v>
      </c>
      <c r="F15" s="164" t="s">
        <v>61</v>
      </c>
      <c r="G15" s="165" t="s">
        <v>61</v>
      </c>
      <c r="H15" s="166" t="s">
        <v>62</v>
      </c>
      <c r="I15" s="183" t="s">
        <v>61</v>
      </c>
      <c r="J15" s="168" t="s">
        <v>62</v>
      </c>
      <c r="K15" s="169">
        <v>0.6</v>
      </c>
      <c r="L15" s="170" t="s">
        <v>97</v>
      </c>
    </row>
    <row x14ac:dyDescent="0.25" r="16" customHeight="1" ht="19.5">
      <c r="A16" s="147"/>
      <c r="B16" s="147"/>
      <c r="C16" s="161" t="s">
        <v>98</v>
      </c>
      <c r="D16" s="162" t="s">
        <v>99</v>
      </c>
      <c r="E16" s="163" t="s">
        <v>100</v>
      </c>
      <c r="F16" s="166" t="s">
        <v>62</v>
      </c>
      <c r="G16" s="168" t="s">
        <v>62</v>
      </c>
      <c r="H16" s="166" t="s">
        <v>62</v>
      </c>
      <c r="I16" s="179" t="s">
        <v>73</v>
      </c>
      <c r="J16" s="168" t="s">
        <v>62</v>
      </c>
      <c r="K16" s="169">
        <v>0.65</v>
      </c>
      <c r="L16" s="171" t="s">
        <v>101</v>
      </c>
    </row>
    <row x14ac:dyDescent="0.25" r="17" customHeight="1" ht="19.5">
      <c r="A17" s="147"/>
      <c r="B17" s="147"/>
      <c r="C17" s="162" t="s">
        <v>102</v>
      </c>
      <c r="D17" s="162" t="s">
        <v>103</v>
      </c>
      <c r="E17" s="163" t="s">
        <v>102</v>
      </c>
      <c r="F17" s="164" t="s">
        <v>61</v>
      </c>
      <c r="G17" s="165" t="s">
        <v>61</v>
      </c>
      <c r="H17" s="166" t="s">
        <v>62</v>
      </c>
      <c r="I17" s="167" t="s">
        <v>62</v>
      </c>
      <c r="J17" s="168" t="s">
        <v>62</v>
      </c>
      <c r="K17" s="169">
        <v>0.6</v>
      </c>
      <c r="L17" s="181" t="s">
        <v>104</v>
      </c>
    </row>
    <row x14ac:dyDescent="0.25" r="18" customHeight="1" ht="19.5">
      <c r="A18" s="147"/>
      <c r="B18" s="147"/>
      <c r="C18" s="161" t="s">
        <v>105</v>
      </c>
      <c r="D18" s="162" t="s">
        <v>106</v>
      </c>
      <c r="E18" s="163" t="s">
        <v>105</v>
      </c>
      <c r="F18" s="164" t="s">
        <v>61</v>
      </c>
      <c r="G18" s="165" t="s">
        <v>61</v>
      </c>
      <c r="H18" s="166" t="s">
        <v>62</v>
      </c>
      <c r="I18" s="179" t="s">
        <v>73</v>
      </c>
      <c r="J18" s="168" t="s">
        <v>62</v>
      </c>
      <c r="K18" s="169">
        <v>0.7</v>
      </c>
      <c r="L18" s="170" t="s">
        <v>107</v>
      </c>
    </row>
    <row x14ac:dyDescent="0.25" r="19" customHeight="1" ht="19.5">
      <c r="A19" s="147"/>
      <c r="B19" s="147"/>
      <c r="C19" s="172" t="s">
        <v>108</v>
      </c>
      <c r="D19" s="173" t="s">
        <v>109</v>
      </c>
      <c r="E19" s="174" t="s">
        <v>100</v>
      </c>
      <c r="F19" s="164" t="s">
        <v>61</v>
      </c>
      <c r="G19" s="165" t="s">
        <v>61</v>
      </c>
      <c r="H19" s="164" t="s">
        <v>61</v>
      </c>
      <c r="I19" s="183" t="s">
        <v>61</v>
      </c>
      <c r="J19" s="168" t="s">
        <v>62</v>
      </c>
      <c r="K19" s="177">
        <v>0.5</v>
      </c>
      <c r="L19" s="178" t="s">
        <v>110</v>
      </c>
    </row>
    <row x14ac:dyDescent="0.25" r="20" customHeight="1" ht="19.5">
      <c r="A20" s="147"/>
      <c r="B20" s="147"/>
      <c r="C20" s="161" t="s">
        <v>111</v>
      </c>
      <c r="D20" s="162" t="s">
        <v>112</v>
      </c>
      <c r="E20" s="163" t="s">
        <v>80</v>
      </c>
      <c r="F20" s="164" t="s">
        <v>61</v>
      </c>
      <c r="G20" s="165" t="s">
        <v>61</v>
      </c>
      <c r="H20" s="166" t="s">
        <v>62</v>
      </c>
      <c r="I20" s="167" t="s">
        <v>62</v>
      </c>
      <c r="J20" s="168" t="s">
        <v>62</v>
      </c>
      <c r="K20" s="169">
        <v>0.8</v>
      </c>
      <c r="L20" s="171" t="s">
        <v>113</v>
      </c>
    </row>
    <row x14ac:dyDescent="0.25" r="21" customHeight="1" ht="19.5">
      <c r="A21" s="147"/>
      <c r="B21" s="147"/>
      <c r="C21" s="161" t="s">
        <v>114</v>
      </c>
      <c r="D21" s="162" t="s">
        <v>115</v>
      </c>
      <c r="E21" s="163" t="s">
        <v>89</v>
      </c>
      <c r="F21" s="164" t="s">
        <v>61</v>
      </c>
      <c r="G21" s="165" t="s">
        <v>61</v>
      </c>
      <c r="H21" s="166" t="s">
        <v>62</v>
      </c>
      <c r="I21" s="179" t="s">
        <v>73</v>
      </c>
      <c r="J21" s="168" t="s">
        <v>62</v>
      </c>
      <c r="K21" s="169">
        <v>0.55</v>
      </c>
      <c r="L21" s="171" t="s">
        <v>116</v>
      </c>
    </row>
    <row x14ac:dyDescent="0.25" r="22" customHeight="1" ht="19.5">
      <c r="A22" s="147"/>
      <c r="B22" s="147"/>
      <c r="C22" s="184" t="s">
        <v>117</v>
      </c>
      <c r="D22" s="184" t="s">
        <v>118</v>
      </c>
      <c r="E22" s="185" t="s">
        <v>119</v>
      </c>
      <c r="F22" s="184" t="s">
        <v>62</v>
      </c>
      <c r="G22" s="184" t="s">
        <v>62</v>
      </c>
      <c r="H22" s="184" t="s">
        <v>120</v>
      </c>
      <c r="I22" s="184" t="s">
        <v>62</v>
      </c>
      <c r="J22" s="184" t="s">
        <v>62</v>
      </c>
      <c r="K22" s="186">
        <v>0.7</v>
      </c>
      <c r="L22" s="187" t="s">
        <v>121</v>
      </c>
    </row>
    <row x14ac:dyDescent="0.25" r="23" customHeight="1" ht="19.5">
      <c r="A23" s="147"/>
      <c r="B23" s="147"/>
      <c r="C23" s="188" t="s">
        <v>122</v>
      </c>
      <c r="D23" s="189" t="s">
        <v>123</v>
      </c>
      <c r="E23" s="185" t="s">
        <v>124</v>
      </c>
      <c r="F23" s="184" t="s">
        <v>62</v>
      </c>
      <c r="G23" s="184" t="s">
        <v>62</v>
      </c>
      <c r="H23" s="184" t="s">
        <v>62</v>
      </c>
      <c r="I23" s="184" t="s">
        <v>62</v>
      </c>
      <c r="J23" s="184" t="s">
        <v>62</v>
      </c>
      <c r="K23" s="186">
        <v>0.7</v>
      </c>
      <c r="L23" s="187" t="s">
        <v>121</v>
      </c>
    </row>
    <row x14ac:dyDescent="0.25" r="24" customHeight="1" ht="19.5">
      <c r="A24" s="147"/>
      <c r="B24" s="147"/>
      <c r="C24" s="184" t="s">
        <v>125</v>
      </c>
      <c r="D24" s="184" t="s">
        <v>126</v>
      </c>
      <c r="E24" s="185" t="s">
        <v>127</v>
      </c>
      <c r="F24" s="184" t="s">
        <v>62</v>
      </c>
      <c r="G24" s="184" t="s">
        <v>62</v>
      </c>
      <c r="H24" s="184" t="s">
        <v>62</v>
      </c>
      <c r="I24" s="184" t="s">
        <v>62</v>
      </c>
      <c r="J24" s="184" t="s">
        <v>62</v>
      </c>
      <c r="K24" s="186">
        <v>0.7</v>
      </c>
      <c r="L24" s="187" t="s">
        <v>121</v>
      </c>
    </row>
    <row x14ac:dyDescent="0.25" r="25" customHeight="1" ht="19.5">
      <c r="A25" s="147"/>
      <c r="B25" s="147"/>
      <c r="C25" s="184" t="s">
        <v>128</v>
      </c>
      <c r="D25" s="184" t="s">
        <v>129</v>
      </c>
      <c r="E25" s="185" t="s">
        <v>128</v>
      </c>
      <c r="F25" s="184" t="s">
        <v>62</v>
      </c>
      <c r="G25" s="184" t="s">
        <v>130</v>
      </c>
      <c r="H25" s="184"/>
      <c r="I25" s="184"/>
      <c r="J25" s="184"/>
      <c r="K25" s="186">
        <v>0.5</v>
      </c>
      <c r="L25" s="187" t="s">
        <v>121</v>
      </c>
    </row>
    <row x14ac:dyDescent="0.25" r="26" customHeight="1" ht="19.5">
      <c r="A26" s="147"/>
      <c r="B26" s="147"/>
      <c r="C26" s="184" t="s">
        <v>131</v>
      </c>
      <c r="D26" s="184" t="s">
        <v>132</v>
      </c>
      <c r="E26" s="185" t="s">
        <v>131</v>
      </c>
      <c r="F26" s="184" t="s">
        <v>62</v>
      </c>
      <c r="G26" s="184" t="s">
        <v>62</v>
      </c>
      <c r="H26" s="184"/>
      <c r="I26" s="184"/>
      <c r="J26" s="184"/>
      <c r="K26" s="186">
        <v>0.7</v>
      </c>
      <c r="L26" s="187" t="s">
        <v>133</v>
      </c>
    </row>
    <row x14ac:dyDescent="0.25" r="27" customHeight="1" ht="19.5">
      <c r="A27" s="147"/>
      <c r="B27" s="147"/>
      <c r="C27" s="190" t="s">
        <v>134</v>
      </c>
      <c r="D27" s="190" t="s">
        <v>135</v>
      </c>
      <c r="E27" s="190" t="s">
        <v>60</v>
      </c>
      <c r="F27" s="190" t="s">
        <v>61</v>
      </c>
      <c r="G27" s="190" t="s">
        <v>61</v>
      </c>
      <c r="H27" s="190" t="s">
        <v>62</v>
      </c>
      <c r="I27" s="190" t="s">
        <v>62</v>
      </c>
      <c r="J27" s="190" t="s">
        <v>62</v>
      </c>
      <c r="K27" s="191">
        <v>0.5</v>
      </c>
      <c r="L27" s="192" t="s">
        <v>63</v>
      </c>
    </row>
    <row x14ac:dyDescent="0.25" r="28" customHeight="1" ht="19.5">
      <c r="A28" s="147"/>
      <c r="B28" s="147"/>
      <c r="C28" s="193" t="s">
        <v>136</v>
      </c>
      <c r="D28" s="193" t="s">
        <v>137</v>
      </c>
      <c r="E28" s="193" t="s">
        <v>138</v>
      </c>
      <c r="F28" s="193" t="s">
        <v>62</v>
      </c>
      <c r="G28" s="193" t="s">
        <v>62</v>
      </c>
      <c r="H28" s="193" t="s">
        <v>62</v>
      </c>
      <c r="I28" s="193" t="s">
        <v>62</v>
      </c>
      <c r="J28" s="193" t="s">
        <v>62</v>
      </c>
      <c r="K28" s="194">
        <v>0.5</v>
      </c>
      <c r="L28" s="195" t="s">
        <v>139</v>
      </c>
    </row>
    <row x14ac:dyDescent="0.25" r="29" customHeight="1" ht="19.5">
      <c r="A29" s="147"/>
      <c r="B29" s="147"/>
      <c r="C29" s="193" t="s">
        <v>140</v>
      </c>
      <c r="D29" s="193" t="s">
        <v>141</v>
      </c>
      <c r="E29" s="193" t="s">
        <v>142</v>
      </c>
      <c r="F29" s="193" t="s">
        <v>61</v>
      </c>
      <c r="G29" s="193" t="s">
        <v>61</v>
      </c>
      <c r="H29" s="193" t="s">
        <v>62</v>
      </c>
      <c r="I29" s="193" t="s">
        <v>62</v>
      </c>
      <c r="J29" s="193" t="s">
        <v>62</v>
      </c>
      <c r="K29" s="194">
        <v>0.6</v>
      </c>
      <c r="L29" s="196" t="s">
        <v>143</v>
      </c>
    </row>
    <row x14ac:dyDescent="0.25" r="30" customHeight="1" ht="19.5">
      <c r="A30" s="147"/>
      <c r="B30" s="147"/>
      <c r="C30" s="193" t="s">
        <v>144</v>
      </c>
      <c r="D30" s="193" t="s">
        <v>145</v>
      </c>
      <c r="E30" s="193" t="s">
        <v>146</v>
      </c>
      <c r="F30" s="193" t="s">
        <v>61</v>
      </c>
      <c r="G30" s="193" t="s">
        <v>61</v>
      </c>
      <c r="H30" s="193" t="s">
        <v>147</v>
      </c>
      <c r="I30" s="193" t="s">
        <v>62</v>
      </c>
      <c r="J30" s="193" t="s">
        <v>62</v>
      </c>
      <c r="K30" s="194">
        <v>0.5</v>
      </c>
      <c r="L30" s="195" t="s">
        <v>104</v>
      </c>
    </row>
    <row x14ac:dyDescent="0.25" r="31" customHeight="1" ht="19.5">
      <c r="A31" s="147"/>
      <c r="B31" s="147"/>
      <c r="C31" s="193" t="s">
        <v>148</v>
      </c>
      <c r="D31" s="193" t="s">
        <v>149</v>
      </c>
      <c r="E31" s="193" t="s">
        <v>150</v>
      </c>
      <c r="F31" s="193" t="s">
        <v>62</v>
      </c>
      <c r="G31" s="193" t="s">
        <v>62</v>
      </c>
      <c r="H31" s="193" t="s">
        <v>61</v>
      </c>
      <c r="I31" s="193" t="s">
        <v>62</v>
      </c>
      <c r="J31" s="193" t="s">
        <v>62</v>
      </c>
      <c r="K31" s="194">
        <v>0.5</v>
      </c>
      <c r="L31" s="197" t="s">
        <v>151</v>
      </c>
    </row>
    <row x14ac:dyDescent="0.25" r="32" customHeight="1" ht="19.5">
      <c r="A32" s="147"/>
      <c r="B32" s="147"/>
      <c r="C32" s="193" t="s">
        <v>152</v>
      </c>
      <c r="D32" s="193" t="s">
        <v>153</v>
      </c>
      <c r="E32" s="193" t="s">
        <v>152</v>
      </c>
      <c r="F32" s="193" t="s">
        <v>61</v>
      </c>
      <c r="G32" s="193" t="s">
        <v>61</v>
      </c>
      <c r="H32" s="193" t="s">
        <v>62</v>
      </c>
      <c r="I32" s="193" t="s">
        <v>62</v>
      </c>
      <c r="J32" s="193" t="s">
        <v>62</v>
      </c>
      <c r="K32" s="194">
        <v>0.7</v>
      </c>
      <c r="L32" s="195"/>
    </row>
    <row x14ac:dyDescent="0.25" r="33" customHeight="1" ht="19.5">
      <c r="A33" s="147"/>
      <c r="B33" s="147"/>
      <c r="C33" s="193" t="s">
        <v>154</v>
      </c>
      <c r="D33" s="193" t="s">
        <v>155</v>
      </c>
      <c r="E33" s="193" t="s">
        <v>154</v>
      </c>
      <c r="F33" s="193" t="s">
        <v>61</v>
      </c>
      <c r="G33" s="193" t="s">
        <v>61</v>
      </c>
      <c r="H33" s="193" t="s">
        <v>62</v>
      </c>
      <c r="I33" s="193" t="s">
        <v>62</v>
      </c>
      <c r="J33" s="193" t="s">
        <v>62</v>
      </c>
      <c r="K33" s="194">
        <v>0.7</v>
      </c>
      <c r="L33" s="193" t="s">
        <v>156</v>
      </c>
    </row>
    <row x14ac:dyDescent="0.25" r="34" customHeight="1" ht="19.5">
      <c r="A34" s="147"/>
      <c r="B34" s="147"/>
      <c r="C34" s="193" t="s">
        <v>157</v>
      </c>
      <c r="D34" s="193" t="s">
        <v>158</v>
      </c>
      <c r="E34" s="193" t="s">
        <v>159</v>
      </c>
      <c r="F34" s="193" t="s">
        <v>61</v>
      </c>
      <c r="G34" s="193" t="s">
        <v>61</v>
      </c>
      <c r="H34" s="193" t="s">
        <v>62</v>
      </c>
      <c r="I34" s="193" t="s">
        <v>62</v>
      </c>
      <c r="J34" s="193" t="s">
        <v>62</v>
      </c>
      <c r="K34" s="194">
        <v>0.6</v>
      </c>
      <c r="L34" s="193" t="s">
        <v>160</v>
      </c>
    </row>
    <row x14ac:dyDescent="0.25" r="35" customHeight="1" ht="19.5">
      <c r="A35" s="147"/>
      <c r="B35" s="147"/>
      <c r="C35" s="193" t="s">
        <v>161</v>
      </c>
      <c r="D35" s="193" t="s">
        <v>162</v>
      </c>
      <c r="E35" s="193" t="s">
        <v>161</v>
      </c>
      <c r="F35" s="193" t="s">
        <v>62</v>
      </c>
      <c r="G35" s="193" t="s">
        <v>62</v>
      </c>
      <c r="H35" s="193" t="s">
        <v>62</v>
      </c>
      <c r="I35" s="193" t="s">
        <v>62</v>
      </c>
      <c r="J35" s="193" t="s">
        <v>62</v>
      </c>
      <c r="K35" s="194">
        <v>0.7</v>
      </c>
      <c r="L35" s="193"/>
    </row>
    <row x14ac:dyDescent="0.25" r="36" customHeight="1" ht="19.5">
      <c r="A36" s="147"/>
      <c r="B36" s="147"/>
      <c r="C36" s="193" t="s">
        <v>163</v>
      </c>
      <c r="D36" s="193" t="s">
        <v>164</v>
      </c>
      <c r="E36" s="193" t="s">
        <v>165</v>
      </c>
      <c r="F36" s="193" t="s">
        <v>62</v>
      </c>
      <c r="G36" s="193" t="s">
        <v>61</v>
      </c>
      <c r="H36" s="193" t="s">
        <v>62</v>
      </c>
      <c r="I36" s="193" t="s">
        <v>62</v>
      </c>
      <c r="J36" s="193" t="s">
        <v>62</v>
      </c>
      <c r="K36" s="194">
        <v>0.5</v>
      </c>
      <c r="L36" s="198"/>
    </row>
    <row x14ac:dyDescent="0.25" r="37" customHeight="1" ht="19.5">
      <c r="A37" s="147"/>
      <c r="B37" s="147"/>
      <c r="C37" s="193" t="s">
        <v>166</v>
      </c>
      <c r="D37" s="193" t="s">
        <v>167</v>
      </c>
      <c r="E37" s="193" t="s">
        <v>142</v>
      </c>
      <c r="F37" s="193" t="s">
        <v>61</v>
      </c>
      <c r="G37" s="193" t="s">
        <v>61</v>
      </c>
      <c r="H37" s="193" t="s">
        <v>62</v>
      </c>
      <c r="I37" s="193" t="s">
        <v>62</v>
      </c>
      <c r="J37" s="193" t="s">
        <v>62</v>
      </c>
      <c r="K37" s="194">
        <v>0.5</v>
      </c>
      <c r="L37" s="195" t="s">
        <v>104</v>
      </c>
    </row>
    <row x14ac:dyDescent="0.25" r="38" customHeight="1" ht="19.5">
      <c r="A38" s="147"/>
      <c r="B38" s="147"/>
      <c r="C38" s="193" t="s">
        <v>168</v>
      </c>
      <c r="D38" s="193" t="s">
        <v>169</v>
      </c>
      <c r="E38" s="193" t="s">
        <v>170</v>
      </c>
      <c r="F38" s="193" t="s">
        <v>61</v>
      </c>
      <c r="G38" s="193" t="s">
        <v>61</v>
      </c>
      <c r="H38" s="193" t="s">
        <v>61</v>
      </c>
      <c r="I38" s="193" t="s">
        <v>62</v>
      </c>
      <c r="J38" s="193" t="s">
        <v>62</v>
      </c>
      <c r="K38" s="194">
        <v>0.5</v>
      </c>
      <c r="L38" s="198" t="s">
        <v>171</v>
      </c>
    </row>
    <row x14ac:dyDescent="0.25" r="39" customHeight="1" ht="19.5">
      <c r="A39" s="147"/>
      <c r="B39" s="147"/>
      <c r="C39" s="193" t="s">
        <v>172</v>
      </c>
      <c r="D39" s="193" t="s">
        <v>173</v>
      </c>
      <c r="E39" s="193" t="s">
        <v>172</v>
      </c>
      <c r="F39" s="193" t="s">
        <v>61</v>
      </c>
      <c r="G39" s="193" t="s">
        <v>61</v>
      </c>
      <c r="H39" s="193" t="s">
        <v>62</v>
      </c>
      <c r="I39" s="193" t="s">
        <v>62</v>
      </c>
      <c r="J39" s="193" t="s">
        <v>62</v>
      </c>
      <c r="K39" s="194">
        <v>0.6</v>
      </c>
      <c r="L39" s="197"/>
    </row>
    <row x14ac:dyDescent="0.25" r="40" customHeight="1" ht="19.5">
      <c r="A40" s="147"/>
      <c r="B40" s="147"/>
      <c r="C40" s="193" t="s">
        <v>174</v>
      </c>
      <c r="D40" s="193" t="s">
        <v>175</v>
      </c>
      <c r="E40" s="193" t="s">
        <v>174</v>
      </c>
      <c r="F40" s="193" t="s">
        <v>62</v>
      </c>
      <c r="G40" s="193" t="s">
        <v>61</v>
      </c>
      <c r="H40" s="193" t="s">
        <v>62</v>
      </c>
      <c r="I40" s="193" t="s">
        <v>62</v>
      </c>
      <c r="J40" s="193" t="s">
        <v>62</v>
      </c>
      <c r="K40" s="194">
        <v>0.5</v>
      </c>
      <c r="L40" s="199" t="s">
        <v>176</v>
      </c>
    </row>
    <row x14ac:dyDescent="0.25" r="41" customHeight="1" ht="19.5">
      <c r="A41" s="147"/>
      <c r="B41" s="147"/>
      <c r="C41" s="193" t="s">
        <v>177</v>
      </c>
      <c r="D41" s="193" t="s">
        <v>178</v>
      </c>
      <c r="E41" s="193" t="s">
        <v>179</v>
      </c>
      <c r="F41" s="193" t="s">
        <v>61</v>
      </c>
      <c r="G41" s="193" t="s">
        <v>61</v>
      </c>
      <c r="H41" s="193" t="s">
        <v>62</v>
      </c>
      <c r="I41" s="193" t="s">
        <v>62</v>
      </c>
      <c r="J41" s="193" t="s">
        <v>62</v>
      </c>
      <c r="K41" s="194">
        <v>0.5</v>
      </c>
      <c r="L41" s="195" t="s">
        <v>180</v>
      </c>
    </row>
    <row x14ac:dyDescent="0.25" r="42" customHeight="1" ht="19.5">
      <c r="A42" s="200"/>
      <c r="B42" s="200"/>
      <c r="C42" s="201" t="s">
        <v>181</v>
      </c>
      <c r="D42" s="202" t="s">
        <v>182</v>
      </c>
      <c r="E42" s="203" t="s">
        <v>72</v>
      </c>
      <c r="F42" s="203" t="s">
        <v>61</v>
      </c>
      <c r="G42" s="203" t="s">
        <v>61</v>
      </c>
      <c r="H42" s="203" t="s">
        <v>61</v>
      </c>
      <c r="I42" s="203" t="s">
        <v>62</v>
      </c>
      <c r="J42" s="203" t="s">
        <v>62</v>
      </c>
      <c r="K42" s="204">
        <v>0.6</v>
      </c>
      <c r="L42" s="205" t="s">
        <v>183</v>
      </c>
    </row>
    <row x14ac:dyDescent="0.25" r="43" customHeight="1" ht="19.5">
      <c r="A43" s="147"/>
      <c r="B43" s="147"/>
      <c r="C43" s="206"/>
      <c r="D43" s="202" t="s">
        <v>184</v>
      </c>
      <c r="E43" s="193"/>
      <c r="F43" s="193"/>
      <c r="G43" s="193"/>
      <c r="H43" s="193"/>
      <c r="I43" s="193"/>
      <c r="J43" s="193"/>
      <c r="K43" s="194"/>
      <c r="L43" s="198"/>
    </row>
    <row x14ac:dyDescent="0.25" r="44" customHeight="1" ht="19.5">
      <c r="A44" s="147"/>
      <c r="B44" s="147"/>
      <c r="C44" s="193" t="s">
        <v>185</v>
      </c>
      <c r="D44" s="193" t="s">
        <v>186</v>
      </c>
      <c r="E44" s="193" t="s">
        <v>187</v>
      </c>
      <c r="F44" s="193" t="s">
        <v>61</v>
      </c>
      <c r="G44" s="193" t="s">
        <v>61</v>
      </c>
      <c r="H44" s="193" t="s">
        <v>62</v>
      </c>
      <c r="I44" s="193" t="s">
        <v>62</v>
      </c>
      <c r="J44" s="193" t="s">
        <v>62</v>
      </c>
      <c r="K44" s="194">
        <v>0.5</v>
      </c>
      <c r="L44" s="198" t="s">
        <v>63</v>
      </c>
    </row>
  </sheetData>
  <mergeCells count="18">
    <mergeCell ref="C3:C4"/>
    <mergeCell ref="D3:D4"/>
    <mergeCell ref="E3:E4"/>
    <mergeCell ref="F3:G3"/>
    <mergeCell ref="H3:J3"/>
    <mergeCell ref="K3:K4"/>
    <mergeCell ref="L3:L4"/>
    <mergeCell ref="A42:A43"/>
    <mergeCell ref="B42:B43"/>
    <mergeCell ref="C42:C43"/>
    <mergeCell ref="E42:E43"/>
    <mergeCell ref="F42:F43"/>
    <mergeCell ref="G42:G43"/>
    <mergeCell ref="H42:H43"/>
    <mergeCell ref="I42:I43"/>
    <mergeCell ref="J42:J43"/>
    <mergeCell ref="K42:K43"/>
    <mergeCell ref="L42:L4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73"/>
  <sheetViews>
    <sheetView workbookViewId="0"/>
  </sheetViews>
  <sheetFormatPr defaultRowHeight="15" x14ac:dyDescent="0.25"/>
  <cols>
    <col min="1" max="1" style="7" width="14.147857142857141" customWidth="1" bestFit="1" hidden="1"/>
    <col min="2" max="2" style="144" width="14.147857142857141" customWidth="1" bestFit="1" hidden="1"/>
    <col min="3" max="3" style="145" width="6.005" customWidth="1" bestFit="1"/>
    <col min="4" max="4" style="145" width="9.576428571428572" customWidth="1" bestFit="1"/>
    <col min="5" max="5" style="145" width="9.290714285714287" customWidth="1" bestFit="1"/>
    <col min="6" max="6" style="145" width="16.576428571428572" customWidth="1" bestFit="1"/>
    <col min="7" max="7" style="146" width="51.005" customWidth="1" bestFit="1"/>
    <col min="8" max="8" style="146" width="35.14785714285715" customWidth="1" bestFit="1"/>
    <col min="9" max="9" style="145" width="8.576428571428572" customWidth="1" bestFit="1"/>
    <col min="10" max="10" style="145" width="8.576428571428572" customWidth="1" bestFit="1"/>
    <col min="11" max="11" style="9" width="11.576428571428572" customWidth="1" bestFit="1"/>
    <col min="12" max="12" style="9" width="9.576428571428572" customWidth="1" bestFit="1"/>
    <col min="13" max="13" style="144" width="10.862142857142858" customWidth="1" bestFit="1"/>
    <col min="14" max="14" style="144" width="11.147857142857141" customWidth="1" bestFit="1"/>
    <col min="15" max="15" style="7" width="8.576428571428572" customWidth="1" bestFit="1"/>
    <col min="16" max="16" style="144" width="14.43357142857143" customWidth="1" bestFit="1"/>
    <col min="17" max="17" style="144" width="14.43357142857143" customWidth="1" bestFit="1"/>
    <col min="18" max="18" style="144" width="14.43357142857143" customWidth="1" bestFit="1"/>
    <col min="19" max="19" style="144" width="14.43357142857143" customWidth="1" bestFit="1"/>
    <col min="20" max="20" style="144" width="14.43357142857143" customWidth="1" bestFit="1"/>
    <col min="21" max="21" style="7" width="19.14785714285714" customWidth="1" bestFit="1"/>
  </cols>
  <sheetData>
    <row x14ac:dyDescent="0.25" r="1" customHeight="1" ht="22.5">
      <c r="A1" s="1"/>
      <c r="B1" s="10"/>
      <c r="C1" s="11">
        <f>DATE(년,월,_xlfn.SHEET())</f>
        <v>25569.375</v>
      </c>
      <c r="D1" s="11"/>
      <c r="E1" s="11"/>
      <c r="F1" s="11"/>
      <c r="G1" s="11"/>
      <c r="H1" s="11"/>
      <c r="I1" s="11"/>
      <c r="J1" s="11"/>
      <c r="K1" s="12"/>
      <c r="L1" s="12"/>
      <c r="M1" s="10"/>
      <c r="N1" s="10"/>
      <c r="O1" s="13"/>
      <c r="P1" s="14" t="s">
        <v>3</v>
      </c>
      <c r="Q1" s="14"/>
      <c r="R1" s="14"/>
      <c r="S1" s="14"/>
      <c r="T1" s="14"/>
      <c r="U1" s="15"/>
    </row>
    <row x14ac:dyDescent="0.25" r="2" customHeight="1" ht="7.5">
      <c r="A2" s="1"/>
      <c r="B2" s="10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3"/>
      <c r="P2" s="18"/>
      <c r="Q2" s="18"/>
      <c r="R2" s="18"/>
      <c r="S2" s="18"/>
      <c r="T2" s="18"/>
      <c r="U2" s="19"/>
    </row>
    <row x14ac:dyDescent="0.25" r="3" customHeight="1" ht="19.5">
      <c r="A3" s="1"/>
      <c r="B3" s="20"/>
      <c r="C3" s="21" t="s">
        <v>4</v>
      </c>
      <c r="D3" s="21"/>
      <c r="E3" s="21"/>
      <c r="F3" s="21"/>
      <c r="G3" s="21"/>
      <c r="H3" s="21"/>
      <c r="I3" s="21"/>
      <c r="J3" s="21"/>
      <c r="K3" s="22" t="s">
        <v>5</v>
      </c>
      <c r="L3" s="23"/>
      <c r="M3" s="24">
        <f>SUM(K5:K12)</f>
      </c>
      <c r="N3" s="25">
        <f>SUM(L5:L12)</f>
      </c>
      <c r="O3" s="26"/>
      <c r="P3" s="17"/>
      <c r="Q3" s="17"/>
      <c r="R3" s="17"/>
      <c r="S3" s="10"/>
      <c r="T3" s="10"/>
      <c r="U3" s="19"/>
    </row>
    <row x14ac:dyDescent="0.25" r="4" customHeight="1" ht="16.5">
      <c r="A4" s="1"/>
      <c r="B4" s="20" t="s">
        <v>6</v>
      </c>
      <c r="C4" s="27" t="s">
        <v>7</v>
      </c>
      <c r="D4" s="27"/>
      <c r="E4" s="27" t="s">
        <v>8</v>
      </c>
      <c r="F4" s="27" t="s">
        <v>9</v>
      </c>
      <c r="G4" s="27" t="s">
        <v>10</v>
      </c>
      <c r="H4" s="27" t="s">
        <v>11</v>
      </c>
      <c r="I4" s="27" t="s">
        <v>12</v>
      </c>
      <c r="J4" s="27" t="s">
        <v>13</v>
      </c>
      <c r="K4" s="28" t="s">
        <v>14</v>
      </c>
      <c r="L4" s="28" t="s">
        <v>15</v>
      </c>
      <c r="M4" s="29"/>
      <c r="N4" s="30"/>
      <c r="O4" s="13"/>
      <c r="P4" s="31" t="s">
        <v>16</v>
      </c>
      <c r="Q4" s="32">
        <f>P10-R10</f>
      </c>
      <c r="R4" s="33"/>
      <c r="S4" s="34"/>
      <c r="T4" s="10"/>
      <c r="U4" s="19"/>
    </row>
    <row x14ac:dyDescent="0.25" r="5" customHeight="1" ht="16.5">
      <c r="A5" s="1"/>
      <c r="B5" s="20">
        <v>1</v>
      </c>
      <c r="C5" s="35"/>
      <c r="D5" s="35"/>
      <c r="E5" s="35"/>
      <c r="F5" s="35"/>
      <c r="G5" s="35"/>
      <c r="H5" s="35"/>
      <c r="I5" s="35"/>
      <c r="J5" s="35"/>
      <c r="K5" s="36">
        <f>(I5+J5)*10000</f>
      </c>
      <c r="L5" s="36">
        <f>K5*L3</f>
      </c>
      <c r="M5" s="34"/>
      <c r="N5" s="10"/>
      <c r="O5" s="13"/>
      <c r="P5" s="37"/>
      <c r="Q5" s="33"/>
      <c r="R5" s="33"/>
      <c r="S5" s="34"/>
      <c r="T5" s="10"/>
      <c r="U5" s="19"/>
    </row>
    <row x14ac:dyDescent="0.25" r="6" customHeight="1" ht="19.5">
      <c r="A6" s="1"/>
      <c r="B6" s="20">
        <v>2</v>
      </c>
      <c r="C6" s="35"/>
      <c r="D6" s="35"/>
      <c r="E6" s="35"/>
      <c r="F6" s="35"/>
      <c r="G6" s="35"/>
      <c r="H6" s="35"/>
      <c r="I6" s="35"/>
      <c r="J6" s="35"/>
      <c r="K6" s="36">
        <f>(I6+J6)*10000</f>
      </c>
      <c r="L6" s="36">
        <f>K6*L3</f>
      </c>
      <c r="M6" s="34"/>
      <c r="N6" s="10"/>
      <c r="O6" s="13"/>
      <c r="P6" s="38"/>
      <c r="Q6" s="38"/>
      <c r="R6" s="38"/>
      <c r="S6" s="17"/>
      <c r="T6" s="17"/>
      <c r="U6" s="19"/>
    </row>
    <row x14ac:dyDescent="0.25" r="7" customHeight="1" ht="19.5">
      <c r="A7" s="1"/>
      <c r="B7" s="20">
        <v>3</v>
      </c>
      <c r="C7" s="35"/>
      <c r="D7" s="35"/>
      <c r="E7" s="35"/>
      <c r="F7" s="35"/>
      <c r="G7" s="35"/>
      <c r="H7" s="35"/>
      <c r="I7" s="35"/>
      <c r="J7" s="35"/>
      <c r="K7" s="36">
        <f>(I7+J7)*10000</f>
      </c>
      <c r="L7" s="36">
        <f>K7*L3</f>
      </c>
      <c r="M7" s="34"/>
      <c r="N7" s="10"/>
      <c r="O7" s="13"/>
      <c r="P7" s="39" t="s">
        <v>17</v>
      </c>
      <c r="Q7" s="39"/>
      <c r="R7" s="39" t="s">
        <v>18</v>
      </c>
      <c r="S7" s="39"/>
      <c r="T7" s="39"/>
      <c r="U7" s="19"/>
    </row>
    <row x14ac:dyDescent="0.25" r="8" customHeight="1" ht="19.5">
      <c r="A8" s="1"/>
      <c r="B8" s="20">
        <v>4</v>
      </c>
      <c r="C8" s="35"/>
      <c r="D8" s="35"/>
      <c r="E8" s="35"/>
      <c r="F8" s="35"/>
      <c r="G8" s="35"/>
      <c r="H8" s="35"/>
      <c r="I8" s="35"/>
      <c r="J8" s="35"/>
      <c r="K8" s="36">
        <f>(I8+J8)*10000</f>
      </c>
      <c r="L8" s="36">
        <f>K8*L3</f>
      </c>
      <c r="M8" s="34"/>
      <c r="N8" s="10"/>
      <c r="O8" s="13"/>
      <c r="P8" s="40" t="s">
        <v>19</v>
      </c>
      <c r="Q8" s="40" t="s">
        <v>20</v>
      </c>
      <c r="R8" s="40" t="s">
        <v>21</v>
      </c>
      <c r="S8" s="40" t="s">
        <v>22</v>
      </c>
      <c r="T8" s="40" t="s">
        <v>20</v>
      </c>
      <c r="U8" s="19"/>
    </row>
    <row x14ac:dyDescent="0.25" r="9" customHeight="1" ht="19.5">
      <c r="A9" s="1"/>
      <c r="B9" s="20">
        <v>5</v>
      </c>
      <c r="C9" s="35"/>
      <c r="D9" s="35"/>
      <c r="E9" s="35"/>
      <c r="F9" s="35"/>
      <c r="G9" s="35"/>
      <c r="H9" s="35"/>
      <c r="I9" s="35"/>
      <c r="J9" s="35"/>
      <c r="K9" s="36">
        <f>(I9+J9)*10000</f>
      </c>
      <c r="L9" s="36">
        <f>K9*L3</f>
      </c>
      <c r="M9" s="34"/>
      <c r="N9" s="10"/>
      <c r="O9" s="13"/>
      <c r="P9" s="41">
        <f>SUM(M:M)</f>
      </c>
      <c r="Q9" s="42"/>
      <c r="R9" s="43">
        <f>SUM(N:N)</f>
      </c>
      <c r="S9" s="44"/>
      <c r="T9" s="44"/>
      <c r="U9" s="19"/>
    </row>
    <row x14ac:dyDescent="0.25" r="10" customHeight="1" ht="19.5">
      <c r="A10" s="1"/>
      <c r="B10" s="20">
        <v>6</v>
      </c>
      <c r="C10" s="35"/>
      <c r="D10" s="35"/>
      <c r="E10" s="35"/>
      <c r="F10" s="35"/>
      <c r="G10" s="35"/>
      <c r="H10" s="35"/>
      <c r="I10" s="35"/>
      <c r="J10" s="35"/>
      <c r="K10" s="36">
        <f>(I10+J10)*10000</f>
      </c>
      <c r="L10" s="36">
        <f>K10*L3</f>
      </c>
      <c r="M10" s="34"/>
      <c r="N10" s="10"/>
      <c r="O10" s="13"/>
      <c r="P10" s="45">
        <f>SUM(P9:Q9)</f>
      </c>
      <c r="Q10" s="45"/>
      <c r="R10" s="46">
        <f>SUM(R9:T9)</f>
      </c>
      <c r="S10" s="46"/>
      <c r="T10" s="46"/>
      <c r="U10" s="19"/>
    </row>
    <row x14ac:dyDescent="0.25" r="11" customHeight="1" ht="19.5">
      <c r="A11" s="1"/>
      <c r="B11" s="20">
        <v>7</v>
      </c>
      <c r="C11" s="35"/>
      <c r="D11" s="35"/>
      <c r="E11" s="35"/>
      <c r="F11" s="35"/>
      <c r="G11" s="35"/>
      <c r="H11" s="35"/>
      <c r="I11" s="35"/>
      <c r="J11" s="35"/>
      <c r="K11" s="36">
        <f>(I11+J11)*10000</f>
      </c>
      <c r="L11" s="36">
        <f>K11*L3</f>
      </c>
      <c r="M11" s="34"/>
      <c r="N11" s="10"/>
      <c r="O11" s="13"/>
      <c r="P11" s="18"/>
      <c r="Q11" s="18"/>
      <c r="R11" s="18"/>
      <c r="S11" s="18"/>
      <c r="T11" s="18"/>
      <c r="U11" s="19"/>
    </row>
    <row x14ac:dyDescent="0.25" r="12" customHeight="1" ht="19.5">
      <c r="A12" s="1"/>
      <c r="B12" s="20">
        <v>8</v>
      </c>
      <c r="C12" s="35"/>
      <c r="D12" s="35"/>
      <c r="E12" s="35"/>
      <c r="F12" s="35"/>
      <c r="G12" s="35"/>
      <c r="H12" s="35"/>
      <c r="I12" s="35"/>
      <c r="J12" s="35"/>
      <c r="K12" s="36">
        <f>(I12+J12)*10000</f>
      </c>
      <c r="L12" s="36">
        <f>K12*L3</f>
      </c>
      <c r="M12" s="47"/>
      <c r="N12" s="17"/>
      <c r="O12" s="13"/>
      <c r="P12" s="10"/>
      <c r="Q12" s="10"/>
      <c r="R12" s="10"/>
      <c r="S12" s="10"/>
      <c r="T12" s="10"/>
      <c r="U12" s="19"/>
    </row>
    <row x14ac:dyDescent="0.25" r="13" customHeight="1" ht="19.5">
      <c r="A13" s="1"/>
      <c r="B13" s="20"/>
      <c r="C13" s="48" t="s">
        <v>23</v>
      </c>
      <c r="D13" s="48"/>
      <c r="E13" s="48"/>
      <c r="F13" s="48"/>
      <c r="G13" s="48"/>
      <c r="H13" s="48"/>
      <c r="I13" s="48"/>
      <c r="J13" s="48"/>
      <c r="K13" s="22" t="s">
        <v>5</v>
      </c>
      <c r="L13" s="23">
        <v>0.5</v>
      </c>
      <c r="M13" s="24">
        <f>SUM(K15:K22)</f>
      </c>
      <c r="N13" s="25">
        <f>SUM(L15:L22)</f>
      </c>
      <c r="O13" s="26"/>
      <c r="P13" s="14" t="s">
        <v>24</v>
      </c>
      <c r="Q13" s="14"/>
      <c r="R13" s="14"/>
      <c r="S13" s="14"/>
      <c r="T13" s="14"/>
      <c r="U13" s="19"/>
    </row>
    <row x14ac:dyDescent="0.25" r="14" customHeight="1" ht="19.5">
      <c r="A14" s="1"/>
      <c r="B14" s="20" t="s">
        <v>6</v>
      </c>
      <c r="C14" s="27" t="s">
        <v>7</v>
      </c>
      <c r="D14" s="27"/>
      <c r="E14" s="27" t="s">
        <v>8</v>
      </c>
      <c r="F14" s="27" t="s">
        <v>9</v>
      </c>
      <c r="G14" s="27" t="s">
        <v>10</v>
      </c>
      <c r="H14" s="27" t="s">
        <v>11</v>
      </c>
      <c r="I14" s="27" t="s">
        <v>12</v>
      </c>
      <c r="J14" s="27" t="s">
        <v>13</v>
      </c>
      <c r="K14" s="28" t="s">
        <v>14</v>
      </c>
      <c r="L14" s="28" t="s">
        <v>15</v>
      </c>
      <c r="M14" s="49" t="s">
        <v>25</v>
      </c>
      <c r="N14" s="50"/>
      <c r="O14" s="13"/>
      <c r="P14" s="10"/>
      <c r="Q14" s="10"/>
      <c r="R14" s="10"/>
      <c r="S14" s="10"/>
      <c r="T14" s="10"/>
      <c r="U14" s="19"/>
    </row>
    <row x14ac:dyDescent="0.25" r="15" customHeight="1" ht="16.5">
      <c r="A15" s="1"/>
      <c r="B15" s="20">
        <v>1</v>
      </c>
      <c r="C15" s="35"/>
      <c r="D15" s="35"/>
      <c r="E15" s="35"/>
      <c r="F15" s="35"/>
      <c r="G15" s="35"/>
      <c r="H15" s="35"/>
      <c r="I15" s="35"/>
      <c r="J15" s="35"/>
      <c r="K15" s="36">
        <f>(I15+J15)*10000</f>
      </c>
      <c r="L15" s="36">
        <f>K15*L13</f>
      </c>
      <c r="M15" s="34"/>
      <c r="N15" s="10"/>
      <c r="O15" s="13"/>
      <c r="P15" s="51" t="s">
        <v>16</v>
      </c>
      <c r="Q15" s="52">
        <f>P21-R21</f>
      </c>
      <c r="R15" s="53"/>
      <c r="S15" s="10"/>
      <c r="T15" s="10"/>
      <c r="U15" s="19"/>
    </row>
    <row x14ac:dyDescent="0.25" r="16" customHeight="1" ht="16.5">
      <c r="A16" s="1"/>
      <c r="B16" s="20">
        <v>2</v>
      </c>
      <c r="C16" s="35"/>
      <c r="D16" s="35"/>
      <c r="E16" s="35"/>
      <c r="F16" s="35"/>
      <c r="G16" s="35"/>
      <c r="H16" s="35"/>
      <c r="I16" s="35"/>
      <c r="J16" s="35"/>
      <c r="K16" s="36">
        <f>(I16+J16)*10000</f>
      </c>
      <c r="L16" s="36">
        <f>K16*L13</f>
      </c>
      <c r="M16" s="34"/>
      <c r="N16" s="10"/>
      <c r="O16" s="13"/>
      <c r="P16" s="54"/>
      <c r="Q16" s="55"/>
      <c r="R16" s="56"/>
      <c r="S16" s="10"/>
      <c r="T16" s="10"/>
      <c r="U16" s="19"/>
    </row>
    <row x14ac:dyDescent="0.25" r="17" customHeight="1" ht="19.5">
      <c r="A17" s="1"/>
      <c r="B17" s="20">
        <v>3</v>
      </c>
      <c r="C17" s="35"/>
      <c r="D17" s="35"/>
      <c r="E17" s="35"/>
      <c r="F17" s="35"/>
      <c r="G17" s="35"/>
      <c r="H17" s="35"/>
      <c r="I17" s="35"/>
      <c r="J17" s="35"/>
      <c r="K17" s="36">
        <f>(I17+J17)*10000</f>
      </c>
      <c r="L17" s="36">
        <f>K17*L13</f>
      </c>
      <c r="M17" s="34"/>
      <c r="N17" s="10"/>
      <c r="O17" s="13"/>
      <c r="P17" s="10"/>
      <c r="Q17" s="10"/>
      <c r="R17" s="10"/>
      <c r="S17" s="10"/>
      <c r="T17" s="10"/>
      <c r="U17" s="19"/>
    </row>
    <row x14ac:dyDescent="0.25" r="18" customHeight="1" ht="19.5">
      <c r="A18" s="1"/>
      <c r="B18" s="20">
        <v>4</v>
      </c>
      <c r="C18" s="35"/>
      <c r="D18" s="35"/>
      <c r="E18" s="35"/>
      <c r="F18" s="35"/>
      <c r="G18" s="35"/>
      <c r="H18" s="35"/>
      <c r="I18" s="35"/>
      <c r="J18" s="35"/>
      <c r="K18" s="36">
        <f>(I18+J18)*10000</f>
      </c>
      <c r="L18" s="36">
        <f>K18*L13</f>
      </c>
      <c r="M18" s="34"/>
      <c r="N18" s="10"/>
      <c r="O18" s="13"/>
      <c r="P18" s="57" t="s">
        <v>17</v>
      </c>
      <c r="Q18" s="58"/>
      <c r="R18" s="59" t="s">
        <v>18</v>
      </c>
      <c r="S18" s="59"/>
      <c r="T18" s="58"/>
      <c r="U18" s="19"/>
    </row>
    <row x14ac:dyDescent="0.25" r="19" customHeight="1" ht="19.5">
      <c r="A19" s="1"/>
      <c r="B19" s="20">
        <v>5</v>
      </c>
      <c r="C19" s="35"/>
      <c r="D19" s="35"/>
      <c r="E19" s="35"/>
      <c r="F19" s="35"/>
      <c r="G19" s="35"/>
      <c r="H19" s="35"/>
      <c r="I19" s="35"/>
      <c r="J19" s="35"/>
      <c r="K19" s="36">
        <f>(I19+J19)*10000</f>
      </c>
      <c r="L19" s="36">
        <f>K19*L13</f>
      </c>
      <c r="M19" s="34"/>
      <c r="N19" s="10"/>
      <c r="O19" s="13"/>
      <c r="P19" s="60" t="s">
        <v>19</v>
      </c>
      <c r="Q19" s="61" t="s">
        <v>20</v>
      </c>
      <c r="R19" s="61" t="s">
        <v>21</v>
      </c>
      <c r="S19" s="61" t="s">
        <v>22</v>
      </c>
      <c r="T19" s="61" t="s">
        <v>20</v>
      </c>
      <c r="U19" s="19"/>
    </row>
    <row x14ac:dyDescent="0.25" r="20" customHeight="1" ht="19.5">
      <c r="A20" s="1"/>
      <c r="B20" s="20">
        <v>6</v>
      </c>
      <c r="C20" s="35"/>
      <c r="D20" s="35"/>
      <c r="E20" s="35"/>
      <c r="F20" s="35"/>
      <c r="G20" s="35"/>
      <c r="H20" s="35"/>
      <c r="I20" s="35"/>
      <c r="J20" s="35"/>
      <c r="K20" s="36">
        <f>(I20+J20)*10000</f>
      </c>
      <c r="L20" s="36">
        <f>K20*L13</f>
      </c>
      <c r="M20" s="34"/>
      <c r="N20" s="10"/>
      <c r="O20" s="13"/>
      <c r="P20" s="62">
        <f>SUM(P9,'8'!P9,'7'!P9,'6'!P9,'5'!P9,'4'!P9,'3'!P9)</f>
      </c>
      <c r="Q20" s="62">
        <f>SUM(Q9,'8'!Q9,'7'!Q9,'6'!Q9,'5'!Q9,'4'!Q9,'3'!Q9)</f>
      </c>
      <c r="R20" s="62">
        <f>SUM(R9,'8'!R9,'7'!R9,'6'!R9,'5'!R9,'4'!R9,'3'!R9)</f>
      </c>
      <c r="S20" s="62">
        <f>SUM(S9,'8'!S9,'7'!S9,'6'!S9,'5'!S9,'4'!S9,'3'!S9)</f>
      </c>
      <c r="T20" s="62">
        <f>SUM(T9,'8'!T9,'7'!T9,'6'!T9,'5'!T9,'4'!T9,'3'!T9)</f>
      </c>
      <c r="U20" s="19"/>
    </row>
    <row x14ac:dyDescent="0.25" r="21" customHeight="1" ht="19.5">
      <c r="A21" s="1"/>
      <c r="B21" s="20">
        <v>7</v>
      </c>
      <c r="C21" s="35"/>
      <c r="D21" s="35"/>
      <c r="E21" s="35"/>
      <c r="F21" s="35"/>
      <c r="G21" s="35"/>
      <c r="H21" s="35"/>
      <c r="I21" s="35"/>
      <c r="J21" s="35"/>
      <c r="K21" s="36">
        <f>(I21+J21)*10000</f>
      </c>
      <c r="L21" s="36">
        <f>K21*L13</f>
      </c>
      <c r="M21" s="34"/>
      <c r="N21" s="10"/>
      <c r="O21" s="13"/>
      <c r="P21" s="63">
        <f>SUM(P20:Q20)</f>
      </c>
      <c r="Q21" s="64"/>
      <c r="R21" s="65">
        <f>SUM(R20:T20)</f>
      </c>
      <c r="S21" s="66"/>
      <c r="T21" s="67"/>
      <c r="U21" s="19"/>
    </row>
    <row x14ac:dyDescent="0.25" r="22" customHeight="1" ht="19.5">
      <c r="A22" s="1"/>
      <c r="B22" s="20">
        <v>8</v>
      </c>
      <c r="C22" s="35"/>
      <c r="D22" s="35"/>
      <c r="E22" s="35"/>
      <c r="F22" s="35"/>
      <c r="G22" s="35"/>
      <c r="H22" s="35"/>
      <c r="I22" s="35"/>
      <c r="J22" s="35"/>
      <c r="K22" s="36">
        <f>(I22+J22)*10000</f>
      </c>
      <c r="L22" s="36">
        <f>K22*L13</f>
      </c>
      <c r="M22" s="47"/>
      <c r="N22" s="17"/>
      <c r="O22" s="13"/>
      <c r="P22" s="18"/>
      <c r="Q22" s="18"/>
      <c r="R22" s="18"/>
      <c r="S22" s="18"/>
      <c r="T22" s="18"/>
      <c r="U22" s="19"/>
    </row>
    <row x14ac:dyDescent="0.25" r="23" customHeight="1" ht="19.5" hidden="1">
      <c r="A23" s="1"/>
      <c r="B23" s="20"/>
      <c r="C23" s="21" t="s">
        <v>26</v>
      </c>
      <c r="D23" s="21"/>
      <c r="E23" s="21"/>
      <c r="F23" s="21"/>
      <c r="G23" s="21"/>
      <c r="H23" s="21"/>
      <c r="I23" s="21"/>
      <c r="J23" s="21"/>
      <c r="K23" s="22" t="s">
        <v>5</v>
      </c>
      <c r="L23" s="23">
        <v>0.5</v>
      </c>
      <c r="M23" s="24">
        <f>SUM(K25:K32)</f>
      </c>
      <c r="N23" s="25">
        <f>SUM(L25:L32)</f>
      </c>
      <c r="O23" s="19"/>
      <c r="P23" s="34"/>
      <c r="Q23" s="34"/>
      <c r="R23" s="34"/>
      <c r="S23" s="34"/>
      <c r="T23" s="34"/>
      <c r="U23" s="19"/>
    </row>
    <row x14ac:dyDescent="0.25" r="24" customHeight="1" ht="19.5" hidden="1">
      <c r="A24" s="1"/>
      <c r="B24" s="20" t="s">
        <v>6</v>
      </c>
      <c r="C24" s="27" t="s">
        <v>7</v>
      </c>
      <c r="D24" s="27"/>
      <c r="E24" s="27" t="s">
        <v>8</v>
      </c>
      <c r="F24" s="27" t="s">
        <v>9</v>
      </c>
      <c r="G24" s="27" t="s">
        <v>10</v>
      </c>
      <c r="H24" s="27" t="s">
        <v>11</v>
      </c>
      <c r="I24" s="27" t="s">
        <v>12</v>
      </c>
      <c r="J24" s="27" t="s">
        <v>13</v>
      </c>
      <c r="K24" s="28" t="s">
        <v>14</v>
      </c>
      <c r="L24" s="28" t="s">
        <v>15</v>
      </c>
      <c r="M24" s="29"/>
      <c r="N24" s="30"/>
      <c r="O24" s="19"/>
      <c r="P24" s="34"/>
      <c r="Q24" s="34"/>
      <c r="R24" s="34"/>
      <c r="S24" s="34"/>
      <c r="T24" s="34"/>
      <c r="U24" s="19"/>
    </row>
    <row x14ac:dyDescent="0.25" r="25" customHeight="1" ht="19.5" hidden="1">
      <c r="A25" s="1"/>
      <c r="B25" s="20">
        <v>1</v>
      </c>
      <c r="C25" s="68"/>
      <c r="D25" s="68"/>
      <c r="E25" s="68"/>
      <c r="F25" s="68"/>
      <c r="G25" s="69" t="s">
        <v>27</v>
      </c>
      <c r="H25" s="70"/>
      <c r="I25" s="35"/>
      <c r="J25" s="35"/>
      <c r="K25" s="36">
        <f>(I25+J25)*10000</f>
      </c>
      <c r="L25" s="36">
        <f>K25*L23</f>
      </c>
      <c r="M25" s="34"/>
      <c r="N25" s="10"/>
      <c r="O25" s="19"/>
      <c r="P25" s="34"/>
      <c r="Q25" s="34"/>
      <c r="R25" s="34"/>
      <c r="S25" s="34"/>
      <c r="T25" s="34"/>
      <c r="U25" s="19"/>
    </row>
    <row x14ac:dyDescent="0.25" r="26" customHeight="1" ht="19.5" hidden="1">
      <c r="A26" s="1"/>
      <c r="B26" s="20">
        <v>2</v>
      </c>
      <c r="C26" s="71"/>
      <c r="D26" s="71"/>
      <c r="E26" s="71"/>
      <c r="F26" s="71"/>
      <c r="G26" s="72"/>
      <c r="H26" s="73"/>
      <c r="I26" s="74"/>
      <c r="J26" s="74"/>
      <c r="K26" s="36">
        <f>(I26+J26)*10000</f>
      </c>
      <c r="L26" s="36">
        <f>K26*L23</f>
      </c>
      <c r="M26" s="34"/>
      <c r="N26" s="10"/>
      <c r="O26" s="19"/>
      <c r="P26" s="34"/>
      <c r="Q26" s="34"/>
      <c r="R26" s="34"/>
      <c r="S26" s="34"/>
      <c r="T26" s="34"/>
      <c r="U26" s="19"/>
    </row>
    <row x14ac:dyDescent="0.25" r="27" customHeight="1" ht="19.5" hidden="1">
      <c r="A27" s="1"/>
      <c r="B27" s="20">
        <v>3</v>
      </c>
      <c r="C27" s="71"/>
      <c r="D27" s="71"/>
      <c r="E27" s="71"/>
      <c r="F27" s="71"/>
      <c r="G27" s="72"/>
      <c r="H27" s="73"/>
      <c r="I27" s="74"/>
      <c r="J27" s="74"/>
      <c r="K27" s="36">
        <f>(I27+J27)*10000</f>
      </c>
      <c r="L27" s="36">
        <f>K27*L23</f>
      </c>
      <c r="M27" s="34"/>
      <c r="N27" s="10"/>
      <c r="O27" s="19"/>
      <c r="P27" s="34"/>
      <c r="Q27" s="34"/>
      <c r="R27" s="34"/>
      <c r="S27" s="34"/>
      <c r="T27" s="34"/>
      <c r="U27" s="19"/>
    </row>
    <row x14ac:dyDescent="0.25" r="28" customHeight="1" ht="19.5" hidden="1">
      <c r="A28" s="1"/>
      <c r="B28" s="20">
        <v>4</v>
      </c>
      <c r="C28" s="71"/>
      <c r="D28" s="71"/>
      <c r="E28" s="71"/>
      <c r="F28" s="71"/>
      <c r="G28" s="73"/>
      <c r="H28" s="73"/>
      <c r="I28" s="74"/>
      <c r="J28" s="74"/>
      <c r="K28" s="36">
        <f>(I28+J28)*10000</f>
      </c>
      <c r="L28" s="36">
        <f>K28*L23</f>
      </c>
      <c r="M28" s="34"/>
      <c r="N28" s="10"/>
      <c r="O28" s="19"/>
      <c r="P28" s="34"/>
      <c r="Q28" s="34"/>
      <c r="R28" s="34"/>
      <c r="S28" s="34"/>
      <c r="T28" s="34"/>
      <c r="U28" s="19"/>
    </row>
    <row x14ac:dyDescent="0.25" r="29" customHeight="1" ht="19.5" hidden="1">
      <c r="A29" s="1"/>
      <c r="B29" s="20">
        <v>5</v>
      </c>
      <c r="C29" s="71"/>
      <c r="D29" s="71"/>
      <c r="E29" s="71"/>
      <c r="F29" s="71"/>
      <c r="G29" s="72"/>
      <c r="H29" s="73"/>
      <c r="I29" s="74"/>
      <c r="J29" s="74"/>
      <c r="K29" s="36">
        <f>(I29+J29)*10000</f>
      </c>
      <c r="L29" s="36">
        <f>K29*L23</f>
      </c>
      <c r="M29" s="34"/>
      <c r="N29" s="10"/>
      <c r="O29" s="19"/>
      <c r="P29" s="34"/>
      <c r="Q29" s="34"/>
      <c r="R29" s="34"/>
      <c r="S29" s="34"/>
      <c r="T29" s="34"/>
      <c r="U29" s="19"/>
    </row>
    <row x14ac:dyDescent="0.25" r="30" customHeight="1" ht="19.5" hidden="1">
      <c r="A30" s="1"/>
      <c r="B30" s="20">
        <v>6</v>
      </c>
      <c r="C30" s="71"/>
      <c r="D30" s="71"/>
      <c r="E30" s="71"/>
      <c r="F30" s="71"/>
      <c r="G30" s="73"/>
      <c r="H30" s="73"/>
      <c r="I30" s="74"/>
      <c r="J30" s="74"/>
      <c r="K30" s="36">
        <f>(I30+J30)*10000</f>
      </c>
      <c r="L30" s="36">
        <f>K30*L23</f>
      </c>
      <c r="M30" s="34"/>
      <c r="N30" s="10"/>
      <c r="O30" s="19"/>
      <c r="P30" s="34"/>
      <c r="Q30" s="34"/>
      <c r="R30" s="34"/>
      <c r="S30" s="34"/>
      <c r="T30" s="34"/>
      <c r="U30" s="19"/>
    </row>
    <row x14ac:dyDescent="0.25" r="31" customHeight="1" ht="19.5" hidden="1">
      <c r="A31" s="1"/>
      <c r="B31" s="20">
        <v>7</v>
      </c>
      <c r="C31" s="71"/>
      <c r="D31" s="75"/>
      <c r="E31" s="71"/>
      <c r="F31" s="71"/>
      <c r="G31" s="73"/>
      <c r="H31" s="73"/>
      <c r="I31" s="74"/>
      <c r="J31" s="74"/>
      <c r="K31" s="36">
        <f>(I31+J31)*10000</f>
      </c>
      <c r="L31" s="36">
        <f>K31*L23</f>
      </c>
      <c r="M31" s="34"/>
      <c r="N31" s="10"/>
      <c r="O31" s="19"/>
      <c r="P31" s="34"/>
      <c r="Q31" s="34"/>
      <c r="R31" s="34"/>
      <c r="S31" s="34"/>
      <c r="T31" s="34"/>
      <c r="U31" s="19"/>
    </row>
    <row x14ac:dyDescent="0.25" r="32" customHeight="1" ht="19.5" hidden="1">
      <c r="A32" s="1"/>
      <c r="B32" s="20">
        <v>8</v>
      </c>
      <c r="C32" s="71"/>
      <c r="D32" s="75"/>
      <c r="E32" s="71"/>
      <c r="F32" s="71"/>
      <c r="G32" s="73"/>
      <c r="H32" s="73"/>
      <c r="I32" s="74"/>
      <c r="J32" s="74"/>
      <c r="K32" s="36">
        <f>(I32+J32)*10000</f>
      </c>
      <c r="L32" s="36">
        <f>K32*L23</f>
      </c>
      <c r="M32" s="47"/>
      <c r="N32" s="17"/>
      <c r="O32" s="1"/>
      <c r="P32" s="34"/>
      <c r="Q32" s="18"/>
      <c r="R32" s="18"/>
      <c r="S32" s="18"/>
      <c r="T32" s="18"/>
      <c r="U32" s="1"/>
    </row>
    <row x14ac:dyDescent="0.25" r="33" customHeight="1" ht="19.5" hidden="1">
      <c r="A33" s="76"/>
      <c r="B33" s="77"/>
      <c r="C33" s="78" t="s">
        <v>28</v>
      </c>
      <c r="D33" s="79"/>
      <c r="E33" s="79"/>
      <c r="F33" s="79"/>
      <c r="G33" s="79"/>
      <c r="H33" s="79"/>
      <c r="I33" s="79"/>
      <c r="J33" s="80"/>
      <c r="K33" s="22" t="s">
        <v>5</v>
      </c>
      <c r="L33" s="23">
        <v>0.5</v>
      </c>
      <c r="M33" s="24">
        <f>SUM(K35:K42)</f>
      </c>
      <c r="N33" s="25">
        <f>SUM(L35:L42)</f>
      </c>
      <c r="O33" s="19"/>
      <c r="P33" s="10"/>
      <c r="Q33" s="10"/>
      <c r="R33" s="10"/>
      <c r="S33" s="10"/>
      <c r="T33" s="10"/>
      <c r="U33" s="1"/>
    </row>
    <row x14ac:dyDescent="0.25" r="34" customHeight="1" ht="19.5" hidden="1">
      <c r="A34" s="76"/>
      <c r="B34" s="77"/>
      <c r="C34" s="27" t="s">
        <v>7</v>
      </c>
      <c r="D34" s="27"/>
      <c r="E34" s="27" t="s">
        <v>8</v>
      </c>
      <c r="F34" s="27" t="s">
        <v>9</v>
      </c>
      <c r="G34" s="27" t="s">
        <v>10</v>
      </c>
      <c r="H34" s="27" t="s">
        <v>11</v>
      </c>
      <c r="I34" s="27" t="s">
        <v>12</v>
      </c>
      <c r="J34" s="27" t="s">
        <v>13</v>
      </c>
      <c r="K34" s="28" t="s">
        <v>14</v>
      </c>
      <c r="L34" s="28" t="s">
        <v>15</v>
      </c>
      <c r="M34" s="49" t="s">
        <v>29</v>
      </c>
      <c r="N34" s="50"/>
      <c r="O34" s="1"/>
      <c r="P34" s="10"/>
      <c r="Q34" s="10"/>
      <c r="R34" s="10"/>
      <c r="S34" s="10"/>
      <c r="T34" s="10"/>
      <c r="U34" s="1"/>
    </row>
    <row x14ac:dyDescent="0.25" r="35" customHeight="1" ht="19.5" hidden="1">
      <c r="A35" s="76"/>
      <c r="B35" s="77"/>
      <c r="C35" s="71"/>
      <c r="D35" s="71"/>
      <c r="E35" s="71"/>
      <c r="F35" s="71"/>
      <c r="G35" s="72"/>
      <c r="H35" s="73"/>
      <c r="I35" s="74"/>
      <c r="J35" s="74"/>
      <c r="K35" s="36">
        <f>(I35+J35)*10000</f>
      </c>
      <c r="L35" s="36">
        <f>K35*L33</f>
      </c>
      <c r="M35" s="34"/>
      <c r="N35" s="10"/>
      <c r="O35" s="1"/>
      <c r="P35" s="10"/>
      <c r="Q35" s="10"/>
      <c r="R35" s="10"/>
      <c r="S35" s="10"/>
      <c r="T35" s="10"/>
      <c r="U35" s="1"/>
    </row>
    <row x14ac:dyDescent="0.25" r="36" customHeight="1" ht="19.5" hidden="1">
      <c r="A36" s="76"/>
      <c r="B36" s="77"/>
      <c r="C36" s="71"/>
      <c r="D36" s="71"/>
      <c r="E36" s="71"/>
      <c r="F36" s="71"/>
      <c r="G36" s="72"/>
      <c r="H36" s="73"/>
      <c r="I36" s="74"/>
      <c r="J36" s="74"/>
      <c r="K36" s="36">
        <f>(I36+J36)*10000</f>
      </c>
      <c r="L36" s="36">
        <f>K36*L33</f>
      </c>
      <c r="M36" s="34"/>
      <c r="N36" s="10"/>
      <c r="O36" s="1"/>
      <c r="P36" s="10"/>
      <c r="Q36" s="10"/>
      <c r="R36" s="10"/>
      <c r="S36" s="10"/>
      <c r="T36" s="10"/>
      <c r="U36" s="1"/>
    </row>
    <row x14ac:dyDescent="0.25" r="37" customHeight="1" ht="19.5" hidden="1">
      <c r="A37" s="76"/>
      <c r="B37" s="77"/>
      <c r="C37" s="71"/>
      <c r="D37" s="71"/>
      <c r="E37" s="71"/>
      <c r="F37" s="71"/>
      <c r="G37" s="72"/>
      <c r="H37" s="73"/>
      <c r="I37" s="74"/>
      <c r="J37" s="74"/>
      <c r="K37" s="36">
        <f>(I37+J37)*10000</f>
      </c>
      <c r="L37" s="36">
        <f>K37*L33</f>
      </c>
      <c r="M37" s="34"/>
      <c r="N37" s="10"/>
      <c r="O37" s="1"/>
      <c r="P37" s="10"/>
      <c r="Q37" s="10"/>
      <c r="R37" s="10"/>
      <c r="S37" s="10"/>
      <c r="T37" s="10"/>
      <c r="U37" s="1"/>
    </row>
    <row x14ac:dyDescent="0.25" r="38" customHeight="1" ht="19.5" hidden="1">
      <c r="A38" s="76"/>
      <c r="B38" s="77"/>
      <c r="C38" s="71"/>
      <c r="D38" s="71"/>
      <c r="E38" s="71"/>
      <c r="F38" s="71"/>
      <c r="G38" s="73"/>
      <c r="H38" s="73"/>
      <c r="I38" s="74"/>
      <c r="J38" s="74"/>
      <c r="K38" s="36">
        <f>(I38+J38)*10000</f>
      </c>
      <c r="L38" s="36">
        <f>K38*L33</f>
      </c>
      <c r="M38" s="34"/>
      <c r="N38" s="10"/>
      <c r="O38" s="1"/>
      <c r="P38" s="10"/>
      <c r="Q38" s="10"/>
      <c r="R38" s="10"/>
      <c r="S38" s="10"/>
      <c r="T38" s="10"/>
      <c r="U38" s="1"/>
    </row>
    <row x14ac:dyDescent="0.25" r="39" customHeight="1" ht="19.5" hidden="1">
      <c r="A39" s="76"/>
      <c r="B39" s="77"/>
      <c r="C39" s="71"/>
      <c r="D39" s="71"/>
      <c r="E39" s="71"/>
      <c r="F39" s="71"/>
      <c r="G39" s="72"/>
      <c r="H39" s="73"/>
      <c r="I39" s="74"/>
      <c r="J39" s="74"/>
      <c r="K39" s="36">
        <f>(I39+J39)*10000</f>
      </c>
      <c r="L39" s="36">
        <f>K39*L33</f>
      </c>
      <c r="M39" s="34"/>
      <c r="N39" s="10"/>
      <c r="O39" s="1"/>
      <c r="P39" s="10"/>
      <c r="Q39" s="10"/>
      <c r="R39" s="10"/>
      <c r="S39" s="10"/>
      <c r="T39" s="10"/>
      <c r="U39" s="1"/>
    </row>
    <row x14ac:dyDescent="0.25" r="40" customHeight="1" ht="19.5" hidden="1">
      <c r="A40" s="76"/>
      <c r="B40" s="77"/>
      <c r="C40" s="71"/>
      <c r="D40" s="71"/>
      <c r="E40" s="71"/>
      <c r="F40" s="71"/>
      <c r="G40" s="73"/>
      <c r="H40" s="73"/>
      <c r="I40" s="74"/>
      <c r="J40" s="74"/>
      <c r="K40" s="36">
        <f>(I40+J40)*10000</f>
      </c>
      <c r="L40" s="36">
        <f>K40*L33</f>
      </c>
      <c r="M40" s="34"/>
      <c r="N40" s="10"/>
      <c r="O40" s="1"/>
      <c r="P40" s="10"/>
      <c r="Q40" s="10"/>
      <c r="R40" s="10"/>
      <c r="S40" s="10"/>
      <c r="T40" s="10"/>
      <c r="U40" s="1"/>
    </row>
    <row x14ac:dyDescent="0.25" r="41" customHeight="1" ht="19.5" hidden="1">
      <c r="A41" s="76"/>
      <c r="B41" s="77"/>
      <c r="C41" s="71"/>
      <c r="D41" s="75"/>
      <c r="E41" s="71"/>
      <c r="F41" s="71"/>
      <c r="G41" s="73"/>
      <c r="H41" s="73"/>
      <c r="I41" s="74"/>
      <c r="J41" s="74"/>
      <c r="K41" s="36">
        <f>(I41+J41)*10000</f>
      </c>
      <c r="L41" s="36">
        <f>K41*L33</f>
      </c>
      <c r="M41" s="34"/>
      <c r="N41" s="10"/>
      <c r="O41" s="1"/>
      <c r="P41" s="10"/>
      <c r="Q41" s="10"/>
      <c r="R41" s="10"/>
      <c r="S41" s="10"/>
      <c r="T41" s="10"/>
      <c r="U41" s="1"/>
    </row>
    <row x14ac:dyDescent="0.25" r="42" customHeight="1" ht="19.5" hidden="1">
      <c r="A42" s="76"/>
      <c r="B42" s="77"/>
      <c r="C42" s="71"/>
      <c r="D42" s="75"/>
      <c r="E42" s="71"/>
      <c r="F42" s="71"/>
      <c r="G42" s="73"/>
      <c r="H42" s="73"/>
      <c r="I42" s="74"/>
      <c r="J42" s="74"/>
      <c r="K42" s="36">
        <f>(I42+J42)*10000</f>
      </c>
      <c r="L42" s="36">
        <f>K42*L33</f>
      </c>
      <c r="M42" s="47"/>
      <c r="N42" s="17"/>
      <c r="O42" s="1"/>
      <c r="P42" s="10"/>
      <c r="Q42" s="10"/>
      <c r="R42" s="10"/>
      <c r="S42" s="10"/>
      <c r="T42" s="10"/>
      <c r="U42" s="1"/>
    </row>
    <row x14ac:dyDescent="0.25" r="43" customHeight="1" ht="19.5" hidden="1">
      <c r="A43" s="1"/>
      <c r="B43" s="20"/>
      <c r="C43" s="48" t="s">
        <v>30</v>
      </c>
      <c r="D43" s="48"/>
      <c r="E43" s="48"/>
      <c r="F43" s="48"/>
      <c r="G43" s="48"/>
      <c r="H43" s="48"/>
      <c r="I43" s="48"/>
      <c r="J43" s="48"/>
      <c r="K43" s="81" t="s">
        <v>5</v>
      </c>
      <c r="L43" s="82">
        <v>0.5</v>
      </c>
      <c r="M43" s="83">
        <v>0</v>
      </c>
      <c r="N43" s="84">
        <v>0</v>
      </c>
      <c r="O43" s="19"/>
      <c r="P43" s="10"/>
      <c r="Q43" s="10"/>
      <c r="R43" s="10"/>
      <c r="S43" s="10"/>
      <c r="T43" s="10"/>
      <c r="U43" s="1"/>
    </row>
    <row x14ac:dyDescent="0.25" r="44" customHeight="1" ht="19.5" hidden="1">
      <c r="A44" s="1"/>
      <c r="B44" s="20" t="s">
        <v>6</v>
      </c>
      <c r="C44" s="85" t="s">
        <v>7</v>
      </c>
      <c r="D44" s="85"/>
      <c r="E44" s="85" t="s">
        <v>8</v>
      </c>
      <c r="F44" s="85" t="s">
        <v>9</v>
      </c>
      <c r="G44" s="85" t="s">
        <v>10</v>
      </c>
      <c r="H44" s="85" t="s">
        <v>11</v>
      </c>
      <c r="I44" s="85" t="s">
        <v>12</v>
      </c>
      <c r="J44" s="85" t="s">
        <v>13</v>
      </c>
      <c r="K44" s="86" t="s">
        <v>14</v>
      </c>
      <c r="L44" s="86" t="s">
        <v>15</v>
      </c>
      <c r="M44" s="10"/>
      <c r="N44" s="10"/>
      <c r="O44" s="1"/>
      <c r="P44" s="10"/>
      <c r="Q44" s="10"/>
      <c r="R44" s="10"/>
      <c r="S44" s="10"/>
      <c r="T44" s="10"/>
      <c r="U44" s="1"/>
    </row>
    <row x14ac:dyDescent="0.25" r="45" customHeight="1" ht="19.5" hidden="1">
      <c r="A45" s="1"/>
      <c r="B45" s="20">
        <v>1</v>
      </c>
      <c r="C45" s="71"/>
      <c r="D45" s="71"/>
      <c r="E45" s="71"/>
      <c r="F45" s="71"/>
      <c r="G45" s="72"/>
      <c r="H45" s="73"/>
      <c r="I45" s="74"/>
      <c r="J45" s="74"/>
      <c r="K45" s="36">
        <f>(I45+J45)*10000</f>
      </c>
      <c r="L45" s="36">
        <f>K45*L43</f>
      </c>
      <c r="M45" s="10"/>
      <c r="N45" s="10"/>
      <c r="O45" s="1"/>
      <c r="P45" s="10"/>
      <c r="Q45" s="10"/>
      <c r="R45" s="10"/>
      <c r="S45" s="10"/>
      <c r="T45" s="10"/>
      <c r="U45" s="1"/>
    </row>
    <row x14ac:dyDescent="0.25" r="46" customHeight="1" ht="19.5" hidden="1">
      <c r="A46" s="1"/>
      <c r="B46" s="20">
        <v>2</v>
      </c>
      <c r="C46" s="71"/>
      <c r="D46" s="71"/>
      <c r="E46" s="71"/>
      <c r="F46" s="71"/>
      <c r="G46" s="72"/>
      <c r="H46" s="73"/>
      <c r="I46" s="74"/>
      <c r="J46" s="74"/>
      <c r="K46" s="36">
        <f>(I46+J46)*10000</f>
      </c>
      <c r="L46" s="36">
        <f>K46*L43</f>
      </c>
      <c r="M46" s="10"/>
      <c r="N46" s="10"/>
      <c r="O46" s="1"/>
      <c r="P46" s="10"/>
      <c r="Q46" s="10"/>
      <c r="R46" s="10"/>
      <c r="S46" s="10"/>
      <c r="T46" s="10"/>
      <c r="U46" s="1"/>
    </row>
    <row x14ac:dyDescent="0.25" r="47" customHeight="1" ht="19.5" hidden="1">
      <c r="A47" s="1"/>
      <c r="B47" s="20">
        <v>3</v>
      </c>
      <c r="C47" s="71"/>
      <c r="D47" s="71"/>
      <c r="E47" s="71"/>
      <c r="F47" s="71"/>
      <c r="G47" s="72"/>
      <c r="H47" s="73"/>
      <c r="I47" s="74"/>
      <c r="J47" s="74"/>
      <c r="K47" s="36">
        <f>(I47+J47)*10000</f>
      </c>
      <c r="L47" s="36">
        <f>K47*L43</f>
      </c>
      <c r="M47" s="10"/>
      <c r="N47" s="10"/>
      <c r="O47" s="1"/>
      <c r="P47" s="10"/>
      <c r="Q47" s="10"/>
      <c r="R47" s="10"/>
      <c r="S47" s="10"/>
      <c r="T47" s="10"/>
      <c r="U47" s="1"/>
    </row>
    <row x14ac:dyDescent="0.25" r="48" customHeight="1" ht="19.5" hidden="1">
      <c r="A48" s="1"/>
      <c r="B48" s="20">
        <v>4</v>
      </c>
      <c r="C48" s="71"/>
      <c r="D48" s="71"/>
      <c r="E48" s="71"/>
      <c r="F48" s="71"/>
      <c r="G48" s="73"/>
      <c r="H48" s="73"/>
      <c r="I48" s="74"/>
      <c r="J48" s="74"/>
      <c r="K48" s="36">
        <f>(I48+J48)*10000</f>
      </c>
      <c r="L48" s="36">
        <f>K48*L43</f>
      </c>
      <c r="M48" s="10"/>
      <c r="N48" s="10"/>
      <c r="O48" s="1"/>
      <c r="P48" s="10"/>
      <c r="Q48" s="10"/>
      <c r="R48" s="10"/>
      <c r="S48" s="10"/>
      <c r="T48" s="10"/>
      <c r="U48" s="1"/>
    </row>
    <row x14ac:dyDescent="0.25" r="49" customHeight="1" ht="19.5" hidden="1">
      <c r="A49" s="1"/>
      <c r="B49" s="20">
        <v>5</v>
      </c>
      <c r="C49" s="71"/>
      <c r="D49" s="71"/>
      <c r="E49" s="71"/>
      <c r="F49" s="71"/>
      <c r="G49" s="72"/>
      <c r="H49" s="73"/>
      <c r="I49" s="74"/>
      <c r="J49" s="74"/>
      <c r="K49" s="36">
        <f>(I49+J49)*10000</f>
      </c>
      <c r="L49" s="36">
        <f>K49*L43</f>
      </c>
      <c r="M49" s="10"/>
      <c r="N49" s="10"/>
      <c r="O49" s="1"/>
      <c r="P49" s="10"/>
      <c r="Q49" s="10"/>
      <c r="R49" s="10"/>
      <c r="S49" s="10"/>
      <c r="T49" s="10"/>
      <c r="U49" s="1"/>
    </row>
    <row x14ac:dyDescent="0.25" r="50" customHeight="1" ht="19.5" hidden="1">
      <c r="A50" s="1"/>
      <c r="B50" s="20">
        <v>6</v>
      </c>
      <c r="C50" s="71"/>
      <c r="D50" s="71"/>
      <c r="E50" s="71"/>
      <c r="F50" s="71"/>
      <c r="G50" s="73"/>
      <c r="H50" s="73"/>
      <c r="I50" s="74"/>
      <c r="J50" s="74"/>
      <c r="K50" s="36">
        <f>(I50+J50)*10000</f>
      </c>
      <c r="L50" s="36">
        <f>K50*L43</f>
      </c>
      <c r="M50" s="10"/>
      <c r="N50" s="10"/>
      <c r="O50" s="1"/>
      <c r="P50" s="10"/>
      <c r="Q50" s="10"/>
      <c r="R50" s="10"/>
      <c r="S50" s="10"/>
      <c r="T50" s="10"/>
      <c r="U50" s="1"/>
    </row>
    <row x14ac:dyDescent="0.25" r="51" customHeight="1" ht="19.5" hidden="1">
      <c r="A51" s="1"/>
      <c r="B51" s="20">
        <v>7</v>
      </c>
      <c r="C51" s="71"/>
      <c r="D51" s="75"/>
      <c r="E51" s="71"/>
      <c r="F51" s="71"/>
      <c r="G51" s="73"/>
      <c r="H51" s="73"/>
      <c r="I51" s="74"/>
      <c r="J51" s="74"/>
      <c r="K51" s="36">
        <f>(I51+J51)*10000</f>
      </c>
      <c r="L51" s="36">
        <f>K51*L43</f>
      </c>
      <c r="M51" s="10"/>
      <c r="N51" s="10"/>
      <c r="O51" s="1"/>
      <c r="P51" s="10"/>
      <c r="Q51" s="10"/>
      <c r="R51" s="10"/>
      <c r="S51" s="10"/>
      <c r="T51" s="10"/>
      <c r="U51" s="1"/>
    </row>
    <row x14ac:dyDescent="0.25" r="52" customHeight="1" ht="19.5" hidden="1">
      <c r="A52" s="1"/>
      <c r="B52" s="20">
        <v>8</v>
      </c>
      <c r="C52" s="71"/>
      <c r="D52" s="75"/>
      <c r="E52" s="71"/>
      <c r="F52" s="71"/>
      <c r="G52" s="73"/>
      <c r="H52" s="73"/>
      <c r="I52" s="74"/>
      <c r="J52" s="74"/>
      <c r="K52" s="36">
        <f>(I52+J52)*10000</f>
      </c>
      <c r="L52" s="36">
        <f>K52*L43</f>
      </c>
      <c r="M52" s="10"/>
      <c r="N52" s="10"/>
      <c r="O52" s="1"/>
      <c r="P52" s="10"/>
      <c r="Q52" s="10"/>
      <c r="R52" s="10"/>
      <c r="S52" s="10"/>
      <c r="T52" s="10"/>
      <c r="U52" s="1"/>
    </row>
    <row x14ac:dyDescent="0.25" r="53" customHeight="1" ht="19.5" hidden="1">
      <c r="A53" s="1"/>
      <c r="B53" s="20"/>
      <c r="C53" s="87" t="s">
        <v>31</v>
      </c>
      <c r="D53" s="88"/>
      <c r="E53" s="88"/>
      <c r="F53" s="88"/>
      <c r="G53" s="88"/>
      <c r="H53" s="88"/>
      <c r="I53" s="88"/>
      <c r="J53" s="89"/>
      <c r="K53" s="81" t="s">
        <v>5</v>
      </c>
      <c r="L53" s="82">
        <v>0.5</v>
      </c>
      <c r="M53" s="83">
        <v>0</v>
      </c>
      <c r="N53" s="84">
        <v>0</v>
      </c>
      <c r="O53" s="19"/>
      <c r="P53" s="10"/>
      <c r="Q53" s="10"/>
      <c r="R53" s="10"/>
      <c r="S53" s="10"/>
      <c r="T53" s="10"/>
      <c r="U53" s="1"/>
    </row>
    <row x14ac:dyDescent="0.25" r="54" customHeight="1" ht="19.5" hidden="1">
      <c r="A54" s="1"/>
      <c r="B54" s="20"/>
      <c r="C54" s="90" t="s">
        <v>7</v>
      </c>
      <c r="D54" s="91"/>
      <c r="E54" s="85" t="s">
        <v>8</v>
      </c>
      <c r="F54" s="85" t="s">
        <v>9</v>
      </c>
      <c r="G54" s="92" t="s">
        <v>10</v>
      </c>
      <c r="H54" s="85" t="s">
        <v>11</v>
      </c>
      <c r="I54" s="85" t="s">
        <v>12</v>
      </c>
      <c r="J54" s="85" t="s">
        <v>13</v>
      </c>
      <c r="K54" s="86" t="s">
        <v>14</v>
      </c>
      <c r="L54" s="86" t="s">
        <v>15</v>
      </c>
      <c r="M54" s="93"/>
      <c r="N54" s="94"/>
      <c r="O54" s="1"/>
      <c r="P54" s="10"/>
      <c r="Q54" s="10"/>
      <c r="R54" s="10"/>
      <c r="S54" s="10"/>
      <c r="T54" s="10"/>
      <c r="U54" s="1"/>
    </row>
    <row x14ac:dyDescent="0.25" r="55" customHeight="1" ht="19.5" hidden="1">
      <c r="A55" s="1"/>
      <c r="B55" s="20"/>
      <c r="C55" s="71"/>
      <c r="D55" s="71"/>
      <c r="E55" s="71"/>
      <c r="F55" s="71"/>
      <c r="G55" s="72"/>
      <c r="H55" s="73"/>
      <c r="I55" s="74"/>
      <c r="J55" s="74"/>
      <c r="K55" s="36">
        <f>(I55+J55)*10000</f>
      </c>
      <c r="L55" s="36">
        <f>K55*L53</f>
      </c>
      <c r="M55" s="95"/>
      <c r="N55" s="96"/>
      <c r="O55" s="1"/>
      <c r="P55" s="10"/>
      <c r="Q55" s="10"/>
      <c r="R55" s="10"/>
      <c r="S55" s="10"/>
      <c r="T55" s="10"/>
      <c r="U55" s="1"/>
    </row>
    <row x14ac:dyDescent="0.25" r="56" customHeight="1" ht="19.5" hidden="1">
      <c r="A56" s="1"/>
      <c r="B56" s="20"/>
      <c r="C56" s="71"/>
      <c r="D56" s="71"/>
      <c r="E56" s="71"/>
      <c r="F56" s="71"/>
      <c r="G56" s="72"/>
      <c r="H56" s="73"/>
      <c r="I56" s="74"/>
      <c r="J56" s="74"/>
      <c r="K56" s="36">
        <f>(I56+J56)*10000</f>
      </c>
      <c r="L56" s="36">
        <f>K56*L53</f>
      </c>
      <c r="M56" s="95"/>
      <c r="N56" s="96"/>
      <c r="O56" s="1"/>
      <c r="P56" s="10"/>
      <c r="Q56" s="10"/>
      <c r="R56" s="10"/>
      <c r="S56" s="10"/>
      <c r="T56" s="10"/>
      <c r="U56" s="1"/>
    </row>
    <row x14ac:dyDescent="0.25" r="57" customHeight="1" ht="19.5" hidden="1">
      <c r="A57" s="1"/>
      <c r="B57" s="20"/>
      <c r="C57" s="71"/>
      <c r="D57" s="71"/>
      <c r="E57" s="71"/>
      <c r="F57" s="71"/>
      <c r="G57" s="72"/>
      <c r="H57" s="73"/>
      <c r="I57" s="74"/>
      <c r="J57" s="74"/>
      <c r="K57" s="36">
        <f>(I57+J57)*10000</f>
      </c>
      <c r="L57" s="36">
        <f>K57*L53</f>
      </c>
      <c r="M57" s="95"/>
      <c r="N57" s="96"/>
      <c r="O57" s="1"/>
      <c r="P57" s="10"/>
      <c r="Q57" s="10"/>
      <c r="R57" s="10"/>
      <c r="S57" s="10"/>
      <c r="T57" s="10"/>
      <c r="U57" s="1"/>
    </row>
    <row x14ac:dyDescent="0.25" r="58" customHeight="1" ht="19.5" hidden="1">
      <c r="A58" s="1"/>
      <c r="B58" s="20"/>
      <c r="C58" s="71"/>
      <c r="D58" s="71"/>
      <c r="E58" s="71"/>
      <c r="F58" s="71"/>
      <c r="G58" s="73"/>
      <c r="H58" s="73"/>
      <c r="I58" s="74"/>
      <c r="J58" s="74"/>
      <c r="K58" s="36">
        <f>(I58+J58)*10000</f>
      </c>
      <c r="L58" s="36">
        <f>K58*L53</f>
      </c>
      <c r="M58" s="95"/>
      <c r="N58" s="96"/>
      <c r="O58" s="1"/>
      <c r="P58" s="10"/>
      <c r="Q58" s="10"/>
      <c r="R58" s="10"/>
      <c r="S58" s="10"/>
      <c r="T58" s="10"/>
      <c r="U58" s="1"/>
    </row>
    <row x14ac:dyDescent="0.25" r="59" customHeight="1" ht="19.5" hidden="1">
      <c r="A59" s="1"/>
      <c r="B59" s="20"/>
      <c r="C59" s="71"/>
      <c r="D59" s="71"/>
      <c r="E59" s="71"/>
      <c r="F59" s="71"/>
      <c r="G59" s="72"/>
      <c r="H59" s="73"/>
      <c r="I59" s="74"/>
      <c r="J59" s="74"/>
      <c r="K59" s="36">
        <f>(I59+J59)*10000</f>
      </c>
      <c r="L59" s="36">
        <f>K59*L53</f>
      </c>
      <c r="M59" s="95"/>
      <c r="N59" s="96"/>
      <c r="O59" s="1"/>
      <c r="P59" s="10"/>
      <c r="Q59" s="10"/>
      <c r="R59" s="10"/>
      <c r="S59" s="10"/>
      <c r="T59" s="10"/>
      <c r="U59" s="1"/>
    </row>
    <row x14ac:dyDescent="0.25" r="60" customHeight="1" ht="19.5" hidden="1">
      <c r="A60" s="1"/>
      <c r="B60" s="20"/>
      <c r="C60" s="71"/>
      <c r="D60" s="71"/>
      <c r="E60" s="71"/>
      <c r="F60" s="71"/>
      <c r="G60" s="73"/>
      <c r="H60" s="73"/>
      <c r="I60" s="74"/>
      <c r="J60" s="74"/>
      <c r="K60" s="36">
        <f>(I60+J60)*10000</f>
      </c>
      <c r="L60" s="36">
        <f>K60*L53</f>
      </c>
      <c r="M60" s="95"/>
      <c r="N60" s="96"/>
      <c r="O60" s="1"/>
      <c r="P60" s="10"/>
      <c r="Q60" s="10"/>
      <c r="R60" s="10"/>
      <c r="S60" s="10"/>
      <c r="T60" s="10"/>
      <c r="U60" s="1"/>
    </row>
    <row x14ac:dyDescent="0.25" r="61" customHeight="1" ht="19.5" hidden="1">
      <c r="A61" s="1"/>
      <c r="B61" s="20"/>
      <c r="C61" s="71"/>
      <c r="D61" s="75"/>
      <c r="E61" s="71"/>
      <c r="F61" s="71"/>
      <c r="G61" s="73"/>
      <c r="H61" s="73"/>
      <c r="I61" s="74"/>
      <c r="J61" s="74"/>
      <c r="K61" s="36">
        <f>(I61+J61)*10000</f>
      </c>
      <c r="L61" s="36">
        <f>K61*L53</f>
      </c>
      <c r="M61" s="95"/>
      <c r="N61" s="96"/>
      <c r="O61" s="1"/>
      <c r="P61" s="10"/>
      <c r="Q61" s="10"/>
      <c r="R61" s="10"/>
      <c r="S61" s="10"/>
      <c r="T61" s="10"/>
      <c r="U61" s="1"/>
    </row>
    <row x14ac:dyDescent="0.25" r="62" customHeight="1" ht="19.5" hidden="1">
      <c r="A62" s="1"/>
      <c r="B62" s="20"/>
      <c r="C62" s="71"/>
      <c r="D62" s="75"/>
      <c r="E62" s="71"/>
      <c r="F62" s="71"/>
      <c r="G62" s="73"/>
      <c r="H62" s="73"/>
      <c r="I62" s="74"/>
      <c r="J62" s="74"/>
      <c r="K62" s="36">
        <f>(I62+J62)*10000</f>
      </c>
      <c r="L62" s="36">
        <f>K62*L53</f>
      </c>
      <c r="M62" s="97"/>
      <c r="N62" s="98"/>
      <c r="O62" s="1"/>
      <c r="P62" s="10"/>
      <c r="Q62" s="10"/>
      <c r="R62" s="10"/>
      <c r="S62" s="10"/>
      <c r="T62" s="10"/>
      <c r="U62" s="1"/>
    </row>
    <row x14ac:dyDescent="0.25" r="63" customHeight="1" ht="19.5" hidden="1">
      <c r="A63" s="1"/>
      <c r="B63" s="20"/>
      <c r="C63" s="99" t="s">
        <v>32</v>
      </c>
      <c r="D63" s="100"/>
      <c r="E63" s="100"/>
      <c r="F63" s="100"/>
      <c r="G63" s="100"/>
      <c r="H63" s="100"/>
      <c r="I63" s="100"/>
      <c r="J63" s="101"/>
      <c r="K63" s="102" t="s">
        <v>5</v>
      </c>
      <c r="L63" s="103">
        <v>0.5</v>
      </c>
      <c r="M63" s="83">
        <v>0</v>
      </c>
      <c r="N63" s="84">
        <v>0</v>
      </c>
      <c r="O63" s="19"/>
      <c r="P63" s="10"/>
      <c r="Q63" s="10"/>
      <c r="R63" s="10"/>
      <c r="S63" s="10"/>
      <c r="T63" s="10"/>
      <c r="U63" s="1"/>
    </row>
    <row x14ac:dyDescent="0.25" r="64" customHeight="1" ht="19.5" hidden="1">
      <c r="A64" s="1"/>
      <c r="B64" s="20"/>
      <c r="C64" s="104" t="s">
        <v>7</v>
      </c>
      <c r="D64" s="105"/>
      <c r="E64" s="106" t="s">
        <v>8</v>
      </c>
      <c r="F64" s="106" t="s">
        <v>9</v>
      </c>
      <c r="G64" s="107" t="s">
        <v>10</v>
      </c>
      <c r="H64" s="106" t="s">
        <v>11</v>
      </c>
      <c r="I64" s="106" t="s">
        <v>12</v>
      </c>
      <c r="J64" s="106" t="s">
        <v>13</v>
      </c>
      <c r="K64" s="108">
        <v>0</v>
      </c>
      <c r="L64" s="108">
        <v>0</v>
      </c>
      <c r="M64" s="10"/>
      <c r="N64" s="10"/>
      <c r="O64" s="1"/>
      <c r="P64" s="10"/>
      <c r="Q64" s="10"/>
      <c r="R64" s="10"/>
      <c r="S64" s="10"/>
      <c r="T64" s="10"/>
      <c r="U64" s="1"/>
    </row>
    <row x14ac:dyDescent="0.25" r="65" customHeight="1" ht="19.5" hidden="1">
      <c r="A65" s="1"/>
      <c r="B65" s="20"/>
      <c r="C65" s="71"/>
      <c r="D65" s="71"/>
      <c r="E65" s="71"/>
      <c r="F65" s="71"/>
      <c r="G65" s="72"/>
      <c r="H65" s="73"/>
      <c r="I65" s="74"/>
      <c r="J65" s="74"/>
      <c r="K65" s="36">
        <f>(I65+J65)*10000</f>
      </c>
      <c r="L65" s="36">
        <f>K65*L63</f>
      </c>
      <c r="M65" s="10"/>
      <c r="N65" s="10"/>
      <c r="O65" s="1"/>
      <c r="P65" s="10"/>
      <c r="Q65" s="10"/>
      <c r="R65" s="10"/>
      <c r="S65" s="10"/>
      <c r="T65" s="10"/>
      <c r="U65" s="1"/>
    </row>
    <row x14ac:dyDescent="0.25" r="66" customHeight="1" ht="19.5" hidden="1">
      <c r="A66" s="1"/>
      <c r="B66" s="20"/>
      <c r="C66" s="71"/>
      <c r="D66" s="71"/>
      <c r="E66" s="71"/>
      <c r="F66" s="71"/>
      <c r="G66" s="72"/>
      <c r="H66" s="73"/>
      <c r="I66" s="74"/>
      <c r="J66" s="74"/>
      <c r="K66" s="36">
        <f>(I66+J66)*10000</f>
      </c>
      <c r="L66" s="36">
        <f>K66*L63</f>
      </c>
      <c r="M66" s="10"/>
      <c r="N66" s="10"/>
      <c r="O66" s="1"/>
      <c r="P66" s="10"/>
      <c r="Q66" s="10"/>
      <c r="R66" s="10"/>
      <c r="S66" s="10"/>
      <c r="T66" s="10"/>
      <c r="U66" s="1"/>
    </row>
    <row x14ac:dyDescent="0.25" r="67" customHeight="1" ht="19.5" hidden="1">
      <c r="A67" s="1"/>
      <c r="B67" s="20"/>
      <c r="C67" s="71"/>
      <c r="D67" s="71"/>
      <c r="E67" s="71"/>
      <c r="F67" s="71"/>
      <c r="G67" s="72"/>
      <c r="H67" s="73"/>
      <c r="I67" s="74"/>
      <c r="J67" s="74"/>
      <c r="K67" s="36">
        <f>(I67+J67)*10000</f>
      </c>
      <c r="L67" s="36">
        <f>K67*L63</f>
      </c>
      <c r="M67" s="10"/>
      <c r="N67" s="10"/>
      <c r="O67" s="1"/>
      <c r="P67" s="10"/>
      <c r="Q67" s="10"/>
      <c r="R67" s="10"/>
      <c r="S67" s="10"/>
      <c r="T67" s="10"/>
      <c r="U67" s="1"/>
    </row>
    <row x14ac:dyDescent="0.25" r="68" customHeight="1" ht="19.5" hidden="1">
      <c r="A68" s="1"/>
      <c r="B68" s="20"/>
      <c r="C68" s="71"/>
      <c r="D68" s="71"/>
      <c r="E68" s="71"/>
      <c r="F68" s="71"/>
      <c r="G68" s="73"/>
      <c r="H68" s="73"/>
      <c r="I68" s="74"/>
      <c r="J68" s="74"/>
      <c r="K68" s="36">
        <f>(I68+J68)*10000</f>
      </c>
      <c r="L68" s="36">
        <f>K68*L63</f>
      </c>
      <c r="M68" s="10"/>
      <c r="N68" s="10"/>
      <c r="O68" s="1"/>
      <c r="P68" s="10"/>
      <c r="Q68" s="10"/>
      <c r="R68" s="10"/>
      <c r="S68" s="10"/>
      <c r="T68" s="10"/>
      <c r="U68" s="1"/>
    </row>
    <row x14ac:dyDescent="0.25" r="69" customHeight="1" ht="19.5" hidden="1">
      <c r="A69" s="1"/>
      <c r="B69" s="20"/>
      <c r="C69" s="71"/>
      <c r="D69" s="71"/>
      <c r="E69" s="71"/>
      <c r="F69" s="71"/>
      <c r="G69" s="72"/>
      <c r="H69" s="73"/>
      <c r="I69" s="74"/>
      <c r="J69" s="74"/>
      <c r="K69" s="36">
        <f>(I69+J69)*10000</f>
      </c>
      <c r="L69" s="36">
        <f>K69*L63</f>
      </c>
      <c r="M69" s="10"/>
      <c r="N69" s="10"/>
      <c r="O69" s="1"/>
      <c r="P69" s="10"/>
      <c r="Q69" s="10"/>
      <c r="R69" s="10"/>
      <c r="S69" s="10"/>
      <c r="T69" s="10"/>
      <c r="U69" s="1"/>
    </row>
    <row x14ac:dyDescent="0.25" r="70" customHeight="1" ht="19.5" hidden="1">
      <c r="A70" s="1"/>
      <c r="B70" s="20"/>
      <c r="C70" s="71"/>
      <c r="D70" s="71"/>
      <c r="E70" s="71"/>
      <c r="F70" s="71"/>
      <c r="G70" s="73"/>
      <c r="H70" s="73"/>
      <c r="I70" s="74"/>
      <c r="J70" s="74"/>
      <c r="K70" s="36">
        <f>(I70+J70)*10000</f>
      </c>
      <c r="L70" s="36">
        <f>K70*L63</f>
      </c>
      <c r="M70" s="10"/>
      <c r="N70" s="10"/>
      <c r="O70" s="1"/>
      <c r="P70" s="10"/>
      <c r="Q70" s="10"/>
      <c r="R70" s="10"/>
      <c r="S70" s="10"/>
      <c r="T70" s="10"/>
      <c r="U70" s="1"/>
    </row>
    <row x14ac:dyDescent="0.25" r="71" customHeight="1" ht="19.5" hidden="1">
      <c r="A71" s="1"/>
      <c r="B71" s="20"/>
      <c r="C71" s="71"/>
      <c r="D71" s="75"/>
      <c r="E71" s="71"/>
      <c r="F71" s="71"/>
      <c r="G71" s="73"/>
      <c r="H71" s="73"/>
      <c r="I71" s="74"/>
      <c r="J71" s="74"/>
      <c r="K71" s="36">
        <f>(I71+J71)*10000</f>
      </c>
      <c r="L71" s="36">
        <f>K71*L63</f>
      </c>
      <c r="M71" s="10"/>
      <c r="N71" s="10"/>
      <c r="O71" s="1"/>
      <c r="P71" s="10"/>
      <c r="Q71" s="10"/>
      <c r="R71" s="10"/>
      <c r="S71" s="10"/>
      <c r="T71" s="10"/>
      <c r="U71" s="1"/>
    </row>
    <row x14ac:dyDescent="0.25" r="72" customHeight="1" ht="19.5" hidden="1">
      <c r="A72" s="1"/>
      <c r="B72" s="20"/>
      <c r="C72" s="71"/>
      <c r="D72" s="75"/>
      <c r="E72" s="71"/>
      <c r="F72" s="71"/>
      <c r="G72" s="73"/>
      <c r="H72" s="73"/>
      <c r="I72" s="74"/>
      <c r="J72" s="74"/>
      <c r="K72" s="36">
        <f>(I72+J72)*10000</f>
      </c>
      <c r="L72" s="36">
        <f>K72*L63</f>
      </c>
      <c r="M72" s="10"/>
      <c r="N72" s="10"/>
      <c r="O72" s="1"/>
      <c r="P72" s="10"/>
      <c r="Q72" s="10"/>
      <c r="R72" s="10"/>
      <c r="S72" s="10"/>
      <c r="T72" s="10"/>
      <c r="U72" s="1"/>
    </row>
    <row x14ac:dyDescent="0.25" r="73" customHeight="1" ht="19.5" hidden="1">
      <c r="A73" s="1"/>
      <c r="B73" s="20"/>
      <c r="C73" s="109" t="s">
        <v>33</v>
      </c>
      <c r="D73" s="110"/>
      <c r="E73" s="110"/>
      <c r="F73" s="110"/>
      <c r="G73" s="110"/>
      <c r="H73" s="110"/>
      <c r="I73" s="110"/>
      <c r="J73" s="111"/>
      <c r="K73" s="102" t="s">
        <v>5</v>
      </c>
      <c r="L73" s="103">
        <v>0.5</v>
      </c>
      <c r="M73" s="83">
        <v>0</v>
      </c>
      <c r="N73" s="84">
        <v>0</v>
      </c>
      <c r="O73" s="19"/>
      <c r="P73" s="10"/>
      <c r="Q73" s="10"/>
      <c r="R73" s="10"/>
      <c r="S73" s="10"/>
      <c r="T73" s="10"/>
      <c r="U73" s="1"/>
    </row>
    <row x14ac:dyDescent="0.25" r="74" customHeight="1" ht="19.5" hidden="1">
      <c r="A74" s="1"/>
      <c r="B74" s="20"/>
      <c r="C74" s="112" t="s">
        <v>7</v>
      </c>
      <c r="D74" s="113"/>
      <c r="E74" s="114" t="s">
        <v>8</v>
      </c>
      <c r="F74" s="114" t="s">
        <v>9</v>
      </c>
      <c r="G74" s="92" t="s">
        <v>10</v>
      </c>
      <c r="H74" s="114" t="s">
        <v>11</v>
      </c>
      <c r="I74" s="114" t="s">
        <v>12</v>
      </c>
      <c r="J74" s="114" t="s">
        <v>13</v>
      </c>
      <c r="K74" s="115" t="s">
        <v>14</v>
      </c>
      <c r="L74" s="115" t="s">
        <v>15</v>
      </c>
      <c r="M74" s="96"/>
      <c r="N74" s="96"/>
      <c r="O74" s="1"/>
      <c r="P74" s="10"/>
      <c r="Q74" s="10"/>
      <c r="R74" s="10"/>
      <c r="S74" s="10"/>
      <c r="T74" s="10"/>
      <c r="U74" s="1"/>
    </row>
    <row x14ac:dyDescent="0.25" r="75" customHeight="1" ht="19.5" hidden="1">
      <c r="A75" s="1"/>
      <c r="B75" s="20"/>
      <c r="C75" s="71"/>
      <c r="D75" s="71"/>
      <c r="E75" s="71"/>
      <c r="F75" s="71"/>
      <c r="G75" s="72"/>
      <c r="H75" s="73"/>
      <c r="I75" s="74"/>
      <c r="J75" s="74"/>
      <c r="K75" s="36">
        <f>(I75+J75)*10000</f>
      </c>
      <c r="L75" s="36">
        <f>K75*L73</f>
      </c>
      <c r="M75" s="96"/>
      <c r="N75" s="96"/>
      <c r="O75" s="1"/>
      <c r="P75" s="10"/>
      <c r="Q75" s="10"/>
      <c r="R75" s="10"/>
      <c r="S75" s="10"/>
      <c r="T75" s="10"/>
      <c r="U75" s="1"/>
    </row>
    <row x14ac:dyDescent="0.25" r="76" customHeight="1" ht="19.5" hidden="1">
      <c r="A76" s="1"/>
      <c r="B76" s="20"/>
      <c r="C76" s="71"/>
      <c r="D76" s="71"/>
      <c r="E76" s="71"/>
      <c r="F76" s="71"/>
      <c r="G76" s="72"/>
      <c r="H76" s="73"/>
      <c r="I76" s="74"/>
      <c r="J76" s="74"/>
      <c r="K76" s="36">
        <f>(I76+J76)*10000</f>
      </c>
      <c r="L76" s="36">
        <f>K76*L73</f>
      </c>
      <c r="M76" s="96"/>
      <c r="N76" s="96"/>
      <c r="O76" s="1"/>
      <c r="P76" s="10"/>
      <c r="Q76" s="10"/>
      <c r="R76" s="10"/>
      <c r="S76" s="10"/>
      <c r="T76" s="10"/>
      <c r="U76" s="1"/>
    </row>
    <row x14ac:dyDescent="0.25" r="77" customHeight="1" ht="19.5" hidden="1">
      <c r="A77" s="1"/>
      <c r="B77" s="20"/>
      <c r="C77" s="71"/>
      <c r="D77" s="71"/>
      <c r="E77" s="71"/>
      <c r="F77" s="71"/>
      <c r="G77" s="72"/>
      <c r="H77" s="73"/>
      <c r="I77" s="74"/>
      <c r="J77" s="74"/>
      <c r="K77" s="36">
        <f>(I77+J77)*10000</f>
      </c>
      <c r="L77" s="36">
        <f>K77*L73</f>
      </c>
      <c r="M77" s="96"/>
      <c r="N77" s="96"/>
      <c r="O77" s="1"/>
      <c r="P77" s="10"/>
      <c r="Q77" s="10"/>
      <c r="R77" s="10"/>
      <c r="S77" s="10"/>
      <c r="T77" s="10"/>
      <c r="U77" s="1"/>
    </row>
    <row x14ac:dyDescent="0.25" r="78" customHeight="1" ht="19.5" hidden="1">
      <c r="A78" s="1"/>
      <c r="B78" s="20"/>
      <c r="C78" s="71"/>
      <c r="D78" s="71"/>
      <c r="E78" s="71"/>
      <c r="F78" s="71"/>
      <c r="G78" s="73"/>
      <c r="H78" s="73"/>
      <c r="I78" s="74"/>
      <c r="J78" s="74"/>
      <c r="K78" s="36">
        <f>(I78+J78)*10000</f>
      </c>
      <c r="L78" s="36">
        <f>K78*L73</f>
      </c>
      <c r="M78" s="96"/>
      <c r="N78" s="96"/>
      <c r="O78" s="1"/>
      <c r="P78" s="10"/>
      <c r="Q78" s="10"/>
      <c r="R78" s="10"/>
      <c r="S78" s="10"/>
      <c r="T78" s="10"/>
      <c r="U78" s="1"/>
    </row>
    <row x14ac:dyDescent="0.25" r="79" customHeight="1" ht="19.5" hidden="1">
      <c r="A79" s="1"/>
      <c r="B79" s="20"/>
      <c r="C79" s="71"/>
      <c r="D79" s="71"/>
      <c r="E79" s="71"/>
      <c r="F79" s="71"/>
      <c r="G79" s="72"/>
      <c r="H79" s="73"/>
      <c r="I79" s="74"/>
      <c r="J79" s="74"/>
      <c r="K79" s="36">
        <f>(I79+J79)*10000</f>
      </c>
      <c r="L79" s="36">
        <f>K79*L73</f>
      </c>
      <c r="M79" s="96"/>
      <c r="N79" s="96"/>
      <c r="O79" s="1"/>
      <c r="P79" s="10"/>
      <c r="Q79" s="10"/>
      <c r="R79" s="10"/>
      <c r="S79" s="10"/>
      <c r="T79" s="10"/>
      <c r="U79" s="1"/>
    </row>
    <row x14ac:dyDescent="0.25" r="80" customHeight="1" ht="19.5" hidden="1">
      <c r="A80" s="1"/>
      <c r="B80" s="20"/>
      <c r="C80" s="71"/>
      <c r="D80" s="71"/>
      <c r="E80" s="71"/>
      <c r="F80" s="71"/>
      <c r="G80" s="73"/>
      <c r="H80" s="73"/>
      <c r="I80" s="74"/>
      <c r="J80" s="74"/>
      <c r="K80" s="36">
        <f>(I80+J80)*10000</f>
      </c>
      <c r="L80" s="36">
        <f>K80*L73</f>
      </c>
      <c r="M80" s="96"/>
      <c r="N80" s="96"/>
      <c r="O80" s="1"/>
      <c r="P80" s="10"/>
      <c r="Q80" s="10"/>
      <c r="R80" s="10"/>
      <c r="S80" s="10"/>
      <c r="T80" s="10"/>
      <c r="U80" s="1"/>
    </row>
    <row x14ac:dyDescent="0.25" r="81" customHeight="1" ht="19.5" hidden="1">
      <c r="A81" s="1"/>
      <c r="B81" s="20"/>
      <c r="C81" s="71"/>
      <c r="D81" s="75"/>
      <c r="E81" s="71"/>
      <c r="F81" s="71"/>
      <c r="G81" s="73"/>
      <c r="H81" s="73"/>
      <c r="I81" s="74"/>
      <c r="J81" s="74"/>
      <c r="K81" s="36">
        <f>(I81+J81)*10000</f>
      </c>
      <c r="L81" s="36">
        <f>K81*L73</f>
      </c>
      <c r="M81" s="96"/>
      <c r="N81" s="96"/>
      <c r="O81" s="1"/>
      <c r="P81" s="10"/>
      <c r="Q81" s="10"/>
      <c r="R81" s="10"/>
      <c r="S81" s="10"/>
      <c r="T81" s="10"/>
      <c r="U81" s="1"/>
    </row>
    <row x14ac:dyDescent="0.25" r="82" customHeight="1" ht="19.5" hidden="1">
      <c r="A82" s="1"/>
      <c r="B82" s="20"/>
      <c r="C82" s="71"/>
      <c r="D82" s="75"/>
      <c r="E82" s="71"/>
      <c r="F82" s="71"/>
      <c r="G82" s="73"/>
      <c r="H82" s="73"/>
      <c r="I82" s="74"/>
      <c r="J82" s="74"/>
      <c r="K82" s="36">
        <f>(I82+J82)*10000</f>
      </c>
      <c r="L82" s="36">
        <f>K82*L73</f>
      </c>
      <c r="M82" s="96"/>
      <c r="N82" s="96"/>
      <c r="O82" s="1"/>
      <c r="P82" s="10"/>
      <c r="Q82" s="10"/>
      <c r="R82" s="10"/>
      <c r="S82" s="10"/>
      <c r="T82" s="10"/>
      <c r="U82" s="1"/>
    </row>
    <row x14ac:dyDescent="0.25" r="83" customHeight="1" ht="16.5">
      <c r="A83" s="76"/>
      <c r="B83" s="77"/>
      <c r="C83" s="109" t="s">
        <v>34</v>
      </c>
      <c r="D83" s="110"/>
      <c r="E83" s="110"/>
      <c r="F83" s="110"/>
      <c r="G83" s="110"/>
      <c r="H83" s="110"/>
      <c r="I83" s="110"/>
      <c r="J83" s="111"/>
      <c r="K83" s="116" t="s">
        <v>5</v>
      </c>
      <c r="L83" s="117">
        <v>0.5</v>
      </c>
      <c r="M83" s="83">
        <v>0</v>
      </c>
      <c r="N83" s="84">
        <v>0</v>
      </c>
      <c r="O83" s="19"/>
      <c r="P83" s="10"/>
      <c r="Q83" s="10"/>
      <c r="R83" s="10"/>
      <c r="S83" s="10"/>
      <c r="T83" s="10"/>
      <c r="U83" s="1"/>
    </row>
    <row x14ac:dyDescent="0.25" r="84" customHeight="1" ht="16.5">
      <c r="A84" s="76"/>
      <c r="B84" s="77"/>
      <c r="C84" s="104" t="s">
        <v>7</v>
      </c>
      <c r="D84" s="105"/>
      <c r="E84" s="106" t="s">
        <v>8</v>
      </c>
      <c r="F84" s="106" t="s">
        <v>9</v>
      </c>
      <c r="G84" s="107" t="s">
        <v>10</v>
      </c>
      <c r="H84" s="106" t="s">
        <v>11</v>
      </c>
      <c r="I84" s="106" t="s">
        <v>12</v>
      </c>
      <c r="J84" s="106" t="s">
        <v>13</v>
      </c>
      <c r="K84" s="118" t="s">
        <v>14</v>
      </c>
      <c r="L84" s="118" t="s">
        <v>15</v>
      </c>
      <c r="M84" s="34"/>
      <c r="N84" s="34"/>
      <c r="O84" s="1"/>
      <c r="P84" s="10"/>
      <c r="Q84" s="10"/>
      <c r="R84" s="10"/>
      <c r="S84" s="10"/>
      <c r="T84" s="10"/>
      <c r="U84" s="1"/>
    </row>
    <row x14ac:dyDescent="0.25" r="85" customHeight="1" ht="19.5">
      <c r="A85" s="76"/>
      <c r="B85" s="77"/>
      <c r="C85" s="71"/>
      <c r="D85" s="71"/>
      <c r="E85" s="71"/>
      <c r="F85" s="71"/>
      <c r="G85" s="72"/>
      <c r="H85" s="73"/>
      <c r="I85" s="74"/>
      <c r="J85" s="74"/>
      <c r="K85" s="36">
        <f>(I85+J85)*10000</f>
      </c>
      <c r="L85" s="36">
        <f>K85*L83</f>
      </c>
      <c r="M85" s="10"/>
      <c r="N85" s="10"/>
      <c r="O85" s="1"/>
      <c r="P85" s="10"/>
      <c r="Q85" s="10"/>
      <c r="R85" s="10"/>
      <c r="S85" s="10"/>
      <c r="T85" s="10"/>
      <c r="U85" s="1"/>
    </row>
    <row x14ac:dyDescent="0.25" r="86" customHeight="1" ht="19.5">
      <c r="A86" s="76"/>
      <c r="B86" s="77"/>
      <c r="C86" s="71"/>
      <c r="D86" s="71"/>
      <c r="E86" s="71"/>
      <c r="F86" s="71"/>
      <c r="G86" s="72"/>
      <c r="H86" s="73"/>
      <c r="I86" s="74"/>
      <c r="J86" s="74"/>
      <c r="K86" s="36">
        <f>(I86+J86)*10000</f>
      </c>
      <c r="L86" s="36">
        <f>K86*L83</f>
      </c>
      <c r="M86" s="10"/>
      <c r="N86" s="10"/>
      <c r="O86" s="1"/>
      <c r="P86" s="10"/>
      <c r="Q86" s="10"/>
      <c r="R86" s="10"/>
      <c r="S86" s="10"/>
      <c r="T86" s="10"/>
      <c r="U86" s="1"/>
    </row>
    <row x14ac:dyDescent="0.25" r="87" customHeight="1" ht="19.5">
      <c r="A87" s="76"/>
      <c r="B87" s="77"/>
      <c r="C87" s="71"/>
      <c r="D87" s="71"/>
      <c r="E87" s="71"/>
      <c r="F87" s="71"/>
      <c r="G87" s="72"/>
      <c r="H87" s="73"/>
      <c r="I87" s="74"/>
      <c r="J87" s="74"/>
      <c r="K87" s="36">
        <f>(I87+J87)*10000</f>
      </c>
      <c r="L87" s="36">
        <f>K87*L83</f>
      </c>
      <c r="M87" s="10"/>
      <c r="N87" s="10"/>
      <c r="O87" s="1"/>
      <c r="P87" s="10"/>
      <c r="Q87" s="10"/>
      <c r="R87" s="10"/>
      <c r="S87" s="10"/>
      <c r="T87" s="10"/>
      <c r="U87" s="1"/>
    </row>
    <row x14ac:dyDescent="0.25" r="88" customHeight="1" ht="19.5">
      <c r="A88" s="76"/>
      <c r="B88" s="77"/>
      <c r="C88" s="71"/>
      <c r="D88" s="71"/>
      <c r="E88" s="71"/>
      <c r="F88" s="71"/>
      <c r="G88" s="73"/>
      <c r="H88" s="73"/>
      <c r="I88" s="74"/>
      <c r="J88" s="74"/>
      <c r="K88" s="36">
        <f>(I88+J88)*10000</f>
      </c>
      <c r="L88" s="36">
        <f>K88*L83</f>
      </c>
      <c r="M88" s="10"/>
      <c r="N88" s="10"/>
      <c r="O88" s="1"/>
      <c r="P88" s="10"/>
      <c r="Q88" s="10"/>
      <c r="R88" s="10"/>
      <c r="S88" s="10"/>
      <c r="T88" s="10"/>
      <c r="U88" s="1"/>
    </row>
    <row x14ac:dyDescent="0.25" r="89" customHeight="1" ht="19.5">
      <c r="A89" s="76"/>
      <c r="B89" s="77"/>
      <c r="C89" s="71"/>
      <c r="D89" s="71"/>
      <c r="E89" s="71"/>
      <c r="F89" s="71"/>
      <c r="G89" s="72"/>
      <c r="H89" s="73"/>
      <c r="I89" s="74"/>
      <c r="J89" s="74"/>
      <c r="K89" s="36">
        <f>(I89+J89)*10000</f>
      </c>
      <c r="L89" s="36">
        <f>K89*L83</f>
      </c>
      <c r="M89" s="10"/>
      <c r="N89" s="10"/>
      <c r="O89" s="1"/>
      <c r="P89" s="10"/>
      <c r="Q89" s="10"/>
      <c r="R89" s="10"/>
      <c r="S89" s="10"/>
      <c r="T89" s="10"/>
      <c r="U89" s="1"/>
    </row>
    <row x14ac:dyDescent="0.25" r="90" customHeight="1" ht="19.5">
      <c r="A90" s="76"/>
      <c r="B90" s="77"/>
      <c r="C90" s="71"/>
      <c r="D90" s="71"/>
      <c r="E90" s="71"/>
      <c r="F90" s="71"/>
      <c r="G90" s="73"/>
      <c r="H90" s="73"/>
      <c r="I90" s="74"/>
      <c r="J90" s="74"/>
      <c r="K90" s="36">
        <f>(I90+J90)*10000</f>
      </c>
      <c r="L90" s="36">
        <f>K90*L83</f>
      </c>
      <c r="M90" s="10"/>
      <c r="N90" s="10"/>
      <c r="O90" s="1"/>
      <c r="P90" s="10"/>
      <c r="Q90" s="10"/>
      <c r="R90" s="10"/>
      <c r="S90" s="10"/>
      <c r="T90" s="10"/>
      <c r="U90" s="1"/>
    </row>
    <row x14ac:dyDescent="0.25" r="91" customHeight="1" ht="19.5">
      <c r="A91" s="76"/>
      <c r="B91" s="77"/>
      <c r="C91" s="71"/>
      <c r="D91" s="75"/>
      <c r="E91" s="71"/>
      <c r="F91" s="71"/>
      <c r="G91" s="73"/>
      <c r="H91" s="73"/>
      <c r="I91" s="74"/>
      <c r="J91" s="74"/>
      <c r="K91" s="36">
        <f>(I91+J91)*10000</f>
      </c>
      <c r="L91" s="36">
        <f>K91*L83</f>
      </c>
      <c r="M91" s="10"/>
      <c r="N91" s="10"/>
      <c r="O91" s="1"/>
      <c r="P91" s="10"/>
      <c r="Q91" s="10"/>
      <c r="R91" s="10"/>
      <c r="S91" s="10"/>
      <c r="T91" s="10"/>
      <c r="U91" s="1"/>
    </row>
    <row x14ac:dyDescent="0.25" r="92" customHeight="1" ht="19.5">
      <c r="A92" s="76"/>
      <c r="B92" s="77"/>
      <c r="C92" s="71"/>
      <c r="D92" s="75"/>
      <c r="E92" s="71"/>
      <c r="F92" s="71"/>
      <c r="G92" s="73"/>
      <c r="H92" s="73"/>
      <c r="I92" s="74"/>
      <c r="J92" s="74"/>
      <c r="K92" s="36">
        <f>(I92+J92)*10000</f>
      </c>
      <c r="L92" s="36">
        <f>K92*L83</f>
      </c>
      <c r="M92" s="10"/>
      <c r="N92" s="10"/>
      <c r="O92" s="1"/>
      <c r="P92" s="10"/>
      <c r="Q92" s="10"/>
      <c r="R92" s="10"/>
      <c r="S92" s="10"/>
      <c r="T92" s="10"/>
      <c r="U92" s="1"/>
    </row>
    <row x14ac:dyDescent="0.25" r="93" customHeight="1" ht="19.5" hidden="1">
      <c r="A93" s="1"/>
      <c r="B93" s="20"/>
      <c r="C93" s="119" t="s">
        <v>35</v>
      </c>
      <c r="D93" s="120"/>
      <c r="E93" s="120"/>
      <c r="F93" s="120"/>
      <c r="G93" s="120"/>
      <c r="H93" s="120"/>
      <c r="I93" s="120"/>
      <c r="J93" s="121"/>
      <c r="K93" s="122" t="s">
        <v>5</v>
      </c>
      <c r="L93" s="103">
        <v>0.5</v>
      </c>
      <c r="M93" s="83">
        <v>0</v>
      </c>
      <c r="N93" s="84">
        <v>0</v>
      </c>
      <c r="O93" s="19"/>
      <c r="P93" s="10"/>
      <c r="Q93" s="10"/>
      <c r="R93" s="10"/>
      <c r="S93" s="10"/>
      <c r="T93" s="10"/>
      <c r="U93" s="1"/>
    </row>
    <row x14ac:dyDescent="0.25" r="94" customHeight="1" ht="19.5" hidden="1">
      <c r="A94" s="1"/>
      <c r="B94" s="20"/>
      <c r="C94" s="112" t="s">
        <v>7</v>
      </c>
      <c r="D94" s="113"/>
      <c r="E94" s="114" t="s">
        <v>8</v>
      </c>
      <c r="F94" s="114" t="s">
        <v>9</v>
      </c>
      <c r="G94" s="92" t="s">
        <v>10</v>
      </c>
      <c r="H94" s="114" t="s">
        <v>11</v>
      </c>
      <c r="I94" s="114" t="s">
        <v>12</v>
      </c>
      <c r="J94" s="114" t="s">
        <v>13</v>
      </c>
      <c r="K94" s="115" t="s">
        <v>14</v>
      </c>
      <c r="L94" s="115" t="s">
        <v>15</v>
      </c>
      <c r="M94" s="123"/>
      <c r="N94" s="124"/>
      <c r="O94" s="1"/>
      <c r="P94" s="10"/>
      <c r="Q94" s="10"/>
      <c r="R94" s="10"/>
      <c r="S94" s="10"/>
      <c r="T94" s="10"/>
      <c r="U94" s="1"/>
    </row>
    <row x14ac:dyDescent="0.25" r="95" customHeight="1" ht="19.5" hidden="1">
      <c r="A95" s="1"/>
      <c r="B95" s="20"/>
      <c r="C95" s="71"/>
      <c r="D95" s="71"/>
      <c r="E95" s="71"/>
      <c r="F95" s="71"/>
      <c r="G95" s="73"/>
      <c r="H95" s="73"/>
      <c r="I95" s="74"/>
      <c r="J95" s="74"/>
      <c r="K95" s="36">
        <f>(I95+J95)*10000</f>
      </c>
      <c r="L95" s="36">
        <f>K95*L90</f>
      </c>
      <c r="M95" s="10"/>
      <c r="N95" s="10"/>
      <c r="O95" s="1"/>
      <c r="P95" s="10"/>
      <c r="Q95" s="10"/>
      <c r="R95" s="10"/>
      <c r="S95" s="10"/>
      <c r="T95" s="10"/>
      <c r="U95" s="1"/>
    </row>
    <row x14ac:dyDescent="0.25" r="96" customHeight="1" ht="19.5" hidden="1">
      <c r="A96" s="1"/>
      <c r="B96" s="20"/>
      <c r="C96" s="71"/>
      <c r="D96" s="71"/>
      <c r="E96" s="71"/>
      <c r="F96" s="71"/>
      <c r="G96" s="72"/>
      <c r="H96" s="73"/>
      <c r="I96" s="74"/>
      <c r="J96" s="74"/>
      <c r="K96" s="36">
        <f>(I96+J96)*10000</f>
      </c>
      <c r="L96" s="36">
        <f>K96*L90</f>
      </c>
      <c r="M96" s="10"/>
      <c r="N96" s="10"/>
      <c r="O96" s="1"/>
      <c r="P96" s="10"/>
      <c r="Q96" s="10"/>
      <c r="R96" s="10"/>
      <c r="S96" s="10"/>
      <c r="T96" s="10"/>
      <c r="U96" s="1"/>
    </row>
    <row x14ac:dyDescent="0.25" r="97" customHeight="1" ht="19.5" hidden="1">
      <c r="A97" s="1"/>
      <c r="B97" s="20"/>
      <c r="C97" s="71"/>
      <c r="D97" s="71"/>
      <c r="E97" s="71"/>
      <c r="F97" s="71"/>
      <c r="G97" s="73"/>
      <c r="H97" s="73"/>
      <c r="I97" s="74"/>
      <c r="J97" s="74"/>
      <c r="K97" s="36">
        <f>(I97+J97)*10000</f>
      </c>
      <c r="L97" s="36">
        <f>K97*L90</f>
      </c>
      <c r="M97" s="10"/>
      <c r="N97" s="10"/>
      <c r="O97" s="1"/>
      <c r="P97" s="10"/>
      <c r="Q97" s="10"/>
      <c r="R97" s="10"/>
      <c r="S97" s="10"/>
      <c r="T97" s="10"/>
      <c r="U97" s="1"/>
    </row>
    <row x14ac:dyDescent="0.25" r="98" customHeight="1" ht="19.5" hidden="1">
      <c r="A98" s="1"/>
      <c r="B98" s="20"/>
      <c r="C98" s="71"/>
      <c r="D98" s="75"/>
      <c r="E98" s="71"/>
      <c r="F98" s="71"/>
      <c r="G98" s="73"/>
      <c r="H98" s="73"/>
      <c r="I98" s="74"/>
      <c r="J98" s="74"/>
      <c r="K98" s="36">
        <f>(I98+J98)*10000</f>
      </c>
      <c r="L98" s="36">
        <f>K98*L90</f>
      </c>
      <c r="M98" s="10"/>
      <c r="N98" s="10"/>
      <c r="O98" s="1"/>
      <c r="P98" s="10"/>
      <c r="Q98" s="10"/>
      <c r="R98" s="10"/>
      <c r="S98" s="10"/>
      <c r="T98" s="10"/>
      <c r="U98" s="1"/>
    </row>
    <row x14ac:dyDescent="0.25" r="99" customHeight="1" ht="19.5" hidden="1">
      <c r="A99" s="1"/>
      <c r="B99" s="20"/>
      <c r="C99" s="68"/>
      <c r="D99" s="68"/>
      <c r="E99" s="68"/>
      <c r="F99" s="68"/>
      <c r="G99" s="125" t="s">
        <v>36</v>
      </c>
      <c r="H99" s="70"/>
      <c r="I99" s="70"/>
      <c r="J99" s="70"/>
      <c r="K99" s="108">
        <v>0</v>
      </c>
      <c r="L99" s="108">
        <v>0</v>
      </c>
      <c r="M99" s="10"/>
      <c r="N99" s="10"/>
      <c r="O99" s="1"/>
      <c r="P99" s="10"/>
      <c r="Q99" s="10"/>
      <c r="R99" s="10"/>
      <c r="S99" s="10"/>
      <c r="T99" s="10"/>
      <c r="U99" s="1"/>
    </row>
    <row x14ac:dyDescent="0.25" r="100" customHeight="1" ht="19.5" hidden="1">
      <c r="A100" s="1"/>
      <c r="B100" s="20"/>
      <c r="C100" s="68"/>
      <c r="D100" s="68"/>
      <c r="E100" s="68"/>
      <c r="F100" s="68"/>
      <c r="G100" s="70"/>
      <c r="H100" s="70"/>
      <c r="I100" s="70"/>
      <c r="J100" s="70"/>
      <c r="K100" s="108">
        <v>0</v>
      </c>
      <c r="L100" s="108">
        <v>0</v>
      </c>
      <c r="M100" s="10"/>
      <c r="N100" s="10"/>
      <c r="O100" s="1"/>
      <c r="P100" s="10"/>
      <c r="Q100" s="10"/>
      <c r="R100" s="10"/>
      <c r="S100" s="10"/>
      <c r="T100" s="10"/>
      <c r="U100" s="1"/>
    </row>
    <row x14ac:dyDescent="0.25" r="101" customHeight="1" ht="19.5" hidden="1">
      <c r="A101" s="1"/>
      <c r="B101" s="20"/>
      <c r="C101" s="68"/>
      <c r="D101" s="68"/>
      <c r="E101" s="68"/>
      <c r="F101" s="68"/>
      <c r="G101" s="70"/>
      <c r="H101" s="70"/>
      <c r="I101" s="70"/>
      <c r="J101" s="70"/>
      <c r="K101" s="108">
        <v>0</v>
      </c>
      <c r="L101" s="108">
        <v>0</v>
      </c>
      <c r="M101" s="10"/>
      <c r="N101" s="10"/>
      <c r="O101" s="1"/>
      <c r="P101" s="10"/>
      <c r="Q101" s="10"/>
      <c r="R101" s="10"/>
      <c r="S101" s="10"/>
      <c r="T101" s="10"/>
      <c r="U101" s="1"/>
    </row>
    <row x14ac:dyDescent="0.25" r="102" customHeight="1" ht="19.5" hidden="1">
      <c r="A102" s="1"/>
      <c r="B102" s="20"/>
      <c r="C102" s="68"/>
      <c r="D102" s="68"/>
      <c r="E102" s="68"/>
      <c r="F102" s="68"/>
      <c r="G102" s="70"/>
      <c r="H102" s="70"/>
      <c r="I102" s="70"/>
      <c r="J102" s="70"/>
      <c r="K102" s="108">
        <v>0</v>
      </c>
      <c r="L102" s="108">
        <v>0</v>
      </c>
      <c r="M102" s="10"/>
      <c r="N102" s="10"/>
      <c r="O102" s="1"/>
      <c r="P102" s="10"/>
      <c r="Q102" s="10"/>
      <c r="R102" s="10"/>
      <c r="S102" s="10"/>
      <c r="T102" s="10"/>
      <c r="U102" s="1"/>
    </row>
    <row x14ac:dyDescent="0.25" r="103" customHeight="1" ht="19.5" hidden="1">
      <c r="A103" s="1"/>
      <c r="B103" s="20"/>
      <c r="C103" s="126" t="s">
        <v>37</v>
      </c>
      <c r="D103" s="126"/>
      <c r="E103" s="126"/>
      <c r="F103" s="126"/>
      <c r="G103" s="126"/>
      <c r="H103" s="126"/>
      <c r="I103" s="126"/>
      <c r="J103" s="126"/>
      <c r="K103" s="22" t="s">
        <v>5</v>
      </c>
      <c r="L103" s="127">
        <v>0.6</v>
      </c>
      <c r="M103" s="24">
        <f>SUM(K105:K112)</f>
      </c>
      <c r="N103" s="25">
        <f>SUM(L105:L112)</f>
      </c>
      <c r="O103" s="19"/>
      <c r="P103" s="10"/>
      <c r="Q103" s="10"/>
      <c r="R103" s="10"/>
      <c r="S103" s="10"/>
      <c r="T103" s="10"/>
      <c r="U103" s="1"/>
    </row>
    <row x14ac:dyDescent="0.25" r="104" customHeight="1" ht="19.5" hidden="1">
      <c r="A104" s="1"/>
      <c r="B104" s="20"/>
      <c r="C104" s="27" t="s">
        <v>7</v>
      </c>
      <c r="D104" s="27"/>
      <c r="E104" s="27" t="s">
        <v>8</v>
      </c>
      <c r="F104" s="27" t="s">
        <v>9</v>
      </c>
      <c r="G104" s="27" t="s">
        <v>10</v>
      </c>
      <c r="H104" s="27" t="s">
        <v>11</v>
      </c>
      <c r="I104" s="27" t="s">
        <v>12</v>
      </c>
      <c r="J104" s="27" t="s">
        <v>13</v>
      </c>
      <c r="K104" s="28" t="s">
        <v>14</v>
      </c>
      <c r="L104" s="28" t="s">
        <v>15</v>
      </c>
      <c r="M104" s="128"/>
      <c r="N104" s="129"/>
      <c r="O104" s="1"/>
      <c r="P104" s="10"/>
      <c r="Q104" s="10"/>
      <c r="R104" s="10"/>
      <c r="S104" s="10"/>
      <c r="T104" s="10"/>
      <c r="U104" s="1"/>
    </row>
    <row x14ac:dyDescent="0.25" r="105" customHeight="1" ht="19.5" hidden="1">
      <c r="A105" s="1"/>
      <c r="B105" s="20"/>
      <c r="C105" s="71"/>
      <c r="D105" s="71"/>
      <c r="E105" s="71"/>
      <c r="F105" s="71"/>
      <c r="G105" s="72"/>
      <c r="H105" s="73"/>
      <c r="I105" s="74"/>
      <c r="J105" s="74"/>
      <c r="K105" s="36">
        <f>(I105+J105)*10000</f>
      </c>
      <c r="L105" s="36">
        <f>K105*L103</f>
      </c>
      <c r="M105" s="34"/>
      <c r="N105" s="10"/>
      <c r="O105" s="1"/>
      <c r="P105" s="10"/>
      <c r="Q105" s="10"/>
      <c r="R105" s="10"/>
      <c r="S105" s="10"/>
      <c r="T105" s="10"/>
      <c r="U105" s="1"/>
    </row>
    <row x14ac:dyDescent="0.25" r="106" customHeight="1" ht="19.5" hidden="1">
      <c r="A106" s="1"/>
      <c r="B106" s="20"/>
      <c r="C106" s="71"/>
      <c r="D106" s="71"/>
      <c r="E106" s="71"/>
      <c r="F106" s="71"/>
      <c r="G106" s="72"/>
      <c r="H106" s="73"/>
      <c r="I106" s="74"/>
      <c r="J106" s="74"/>
      <c r="K106" s="36">
        <f>(I106+J106)*10000</f>
      </c>
      <c r="L106" s="36">
        <f>K106*L103</f>
      </c>
      <c r="M106" s="34"/>
      <c r="N106" s="10"/>
      <c r="O106" s="1"/>
      <c r="P106" s="10"/>
      <c r="Q106" s="10"/>
      <c r="R106" s="10"/>
      <c r="S106" s="10"/>
      <c r="T106" s="10"/>
      <c r="U106" s="1"/>
    </row>
    <row x14ac:dyDescent="0.25" r="107" customHeight="1" ht="19.5" hidden="1">
      <c r="A107" s="1"/>
      <c r="B107" s="20"/>
      <c r="C107" s="71"/>
      <c r="D107" s="71"/>
      <c r="E107" s="71"/>
      <c r="F107" s="71"/>
      <c r="G107" s="72"/>
      <c r="H107" s="73"/>
      <c r="I107" s="74"/>
      <c r="J107" s="74"/>
      <c r="K107" s="36">
        <f>(I107+J107)*10000</f>
      </c>
      <c r="L107" s="36">
        <f>K107*L103</f>
      </c>
      <c r="M107" s="34"/>
      <c r="N107" s="10"/>
      <c r="O107" s="1"/>
      <c r="P107" s="10"/>
      <c r="Q107" s="10"/>
      <c r="R107" s="10"/>
      <c r="S107" s="10"/>
      <c r="T107" s="10"/>
      <c r="U107" s="1"/>
    </row>
    <row x14ac:dyDescent="0.25" r="108" customHeight="1" ht="19.5" hidden="1">
      <c r="A108" s="1"/>
      <c r="B108" s="20"/>
      <c r="C108" s="71"/>
      <c r="D108" s="71"/>
      <c r="E108" s="71"/>
      <c r="F108" s="71"/>
      <c r="G108" s="73"/>
      <c r="H108" s="73"/>
      <c r="I108" s="74"/>
      <c r="J108" s="74"/>
      <c r="K108" s="36">
        <f>(I108+J108)*10000</f>
      </c>
      <c r="L108" s="36">
        <f>K108*L103</f>
      </c>
      <c r="M108" s="34"/>
      <c r="N108" s="10"/>
      <c r="O108" s="1"/>
      <c r="P108" s="10"/>
      <c r="Q108" s="10"/>
      <c r="R108" s="10"/>
      <c r="S108" s="10"/>
      <c r="T108" s="10"/>
      <c r="U108" s="1"/>
    </row>
    <row x14ac:dyDescent="0.25" r="109" customHeight="1" ht="19.5" hidden="1">
      <c r="A109" s="1"/>
      <c r="B109" s="20"/>
      <c r="C109" s="71"/>
      <c r="D109" s="71"/>
      <c r="E109" s="71"/>
      <c r="F109" s="71"/>
      <c r="G109" s="72"/>
      <c r="H109" s="73"/>
      <c r="I109" s="74"/>
      <c r="J109" s="74"/>
      <c r="K109" s="36">
        <f>(I109+J109)*10000</f>
      </c>
      <c r="L109" s="36">
        <f>K109*L103</f>
      </c>
      <c r="M109" s="34"/>
      <c r="N109" s="10"/>
      <c r="O109" s="1"/>
      <c r="P109" s="10"/>
      <c r="Q109" s="10"/>
      <c r="R109" s="10"/>
      <c r="S109" s="10"/>
      <c r="T109" s="10"/>
      <c r="U109" s="1"/>
    </row>
    <row x14ac:dyDescent="0.25" r="110" customHeight="1" ht="19.5" hidden="1">
      <c r="A110" s="1"/>
      <c r="B110" s="20"/>
      <c r="C110" s="71"/>
      <c r="D110" s="71"/>
      <c r="E110" s="71"/>
      <c r="F110" s="71"/>
      <c r="G110" s="73"/>
      <c r="H110" s="73"/>
      <c r="I110" s="74"/>
      <c r="J110" s="74"/>
      <c r="K110" s="36">
        <f>(I110+J110)*10000</f>
      </c>
      <c r="L110" s="36">
        <f>K110*L103</f>
      </c>
      <c r="M110" s="34"/>
      <c r="N110" s="10"/>
      <c r="O110" s="1"/>
      <c r="P110" s="10"/>
      <c r="Q110" s="10"/>
      <c r="R110" s="10"/>
      <c r="S110" s="10"/>
      <c r="T110" s="10"/>
      <c r="U110" s="1"/>
    </row>
    <row x14ac:dyDescent="0.25" r="111" customHeight="1" ht="19.5" hidden="1">
      <c r="A111" s="1"/>
      <c r="B111" s="20"/>
      <c r="C111" s="71"/>
      <c r="D111" s="75"/>
      <c r="E111" s="71"/>
      <c r="F111" s="71"/>
      <c r="G111" s="73"/>
      <c r="H111" s="73"/>
      <c r="I111" s="74"/>
      <c r="J111" s="74"/>
      <c r="K111" s="36">
        <f>(I111+J111)*10000</f>
      </c>
      <c r="L111" s="36">
        <f>K111*L103</f>
      </c>
      <c r="M111" s="34"/>
      <c r="N111" s="10"/>
      <c r="O111" s="1"/>
      <c r="P111" s="10"/>
      <c r="Q111" s="10"/>
      <c r="R111" s="10"/>
      <c r="S111" s="10"/>
      <c r="T111" s="10"/>
      <c r="U111" s="1"/>
    </row>
    <row x14ac:dyDescent="0.25" r="112" customHeight="1" ht="19.5" hidden="1">
      <c r="A112" s="1"/>
      <c r="B112" s="20"/>
      <c r="C112" s="71"/>
      <c r="D112" s="75"/>
      <c r="E112" s="71"/>
      <c r="F112" s="71"/>
      <c r="G112" s="73"/>
      <c r="H112" s="73"/>
      <c r="I112" s="74"/>
      <c r="J112" s="74"/>
      <c r="K112" s="36">
        <f>(I112+J112)*10000</f>
      </c>
      <c r="L112" s="36">
        <f>K112*L103</f>
      </c>
      <c r="M112" s="47"/>
      <c r="N112" s="17"/>
      <c r="O112" s="1"/>
      <c r="P112" s="10"/>
      <c r="Q112" s="10"/>
      <c r="R112" s="10"/>
      <c r="S112" s="10"/>
      <c r="T112" s="10"/>
      <c r="U112" s="1"/>
    </row>
    <row x14ac:dyDescent="0.25" r="113" customHeight="1" ht="19.5" hidden="1">
      <c r="A113" s="1"/>
      <c r="B113" s="20"/>
      <c r="C113" s="130" t="s">
        <v>38</v>
      </c>
      <c r="D113" s="130"/>
      <c r="E113" s="130"/>
      <c r="F113" s="130"/>
      <c r="G113" s="130"/>
      <c r="H113" s="130"/>
      <c r="I113" s="130"/>
      <c r="J113" s="130"/>
      <c r="K113" s="122" t="s">
        <v>5</v>
      </c>
      <c r="L113" s="131">
        <v>0.65</v>
      </c>
      <c r="M113" s="24">
        <f>SUM(K115:K122)</f>
      </c>
      <c r="N113" s="25">
        <f>SUM(L115:L122)</f>
      </c>
      <c r="O113" s="19"/>
      <c r="P113" s="10"/>
      <c r="Q113" s="10"/>
      <c r="R113" s="10"/>
      <c r="S113" s="10"/>
      <c r="T113" s="10"/>
      <c r="U113" s="1"/>
    </row>
    <row x14ac:dyDescent="0.25" r="114" customHeight="1" ht="19.5" hidden="1">
      <c r="A114" s="1"/>
      <c r="B114" s="20"/>
      <c r="C114" s="27" t="s">
        <v>7</v>
      </c>
      <c r="D114" s="27"/>
      <c r="E114" s="27" t="s">
        <v>8</v>
      </c>
      <c r="F114" s="27" t="s">
        <v>9</v>
      </c>
      <c r="G114" s="27" t="s">
        <v>10</v>
      </c>
      <c r="H114" s="27" t="s">
        <v>11</v>
      </c>
      <c r="I114" s="27" t="s">
        <v>12</v>
      </c>
      <c r="J114" s="27" t="s">
        <v>13</v>
      </c>
      <c r="K114" s="28" t="s">
        <v>14</v>
      </c>
      <c r="L114" s="28" t="s">
        <v>15</v>
      </c>
      <c r="M114" s="29"/>
      <c r="N114" s="30"/>
      <c r="O114" s="1"/>
      <c r="P114" s="10"/>
      <c r="Q114" s="10"/>
      <c r="R114" s="10"/>
      <c r="S114" s="10"/>
      <c r="T114" s="10"/>
      <c r="U114" s="1"/>
    </row>
    <row x14ac:dyDescent="0.25" r="115" customHeight="1" ht="19.5" hidden="1">
      <c r="A115" s="1"/>
      <c r="B115" s="20" t="s">
        <v>6</v>
      </c>
      <c r="C115" s="71"/>
      <c r="D115" s="71"/>
      <c r="E115" s="71"/>
      <c r="F115" s="71"/>
      <c r="G115" s="72"/>
      <c r="H115" s="73"/>
      <c r="I115" s="74"/>
      <c r="J115" s="74"/>
      <c r="K115" s="36">
        <f>(I115+J115)*10000</f>
      </c>
      <c r="L115" s="36">
        <f>K115*L113</f>
      </c>
      <c r="M115" s="34"/>
      <c r="N115" s="10"/>
      <c r="O115" s="1"/>
      <c r="P115" s="10"/>
      <c r="Q115" s="10"/>
      <c r="R115" s="10"/>
      <c r="S115" s="10"/>
      <c r="T115" s="10"/>
      <c r="U115" s="1"/>
    </row>
    <row x14ac:dyDescent="0.25" r="116" customHeight="1" ht="19.5" hidden="1">
      <c r="A116" s="1"/>
      <c r="B116" s="20">
        <v>1</v>
      </c>
      <c r="C116" s="71"/>
      <c r="D116" s="71"/>
      <c r="E116" s="71"/>
      <c r="F116" s="71"/>
      <c r="G116" s="72"/>
      <c r="H116" s="73"/>
      <c r="I116" s="74"/>
      <c r="J116" s="74"/>
      <c r="K116" s="36">
        <f>(I116+J116)*10000</f>
      </c>
      <c r="L116" s="36">
        <f>K116*L113</f>
      </c>
      <c r="M116" s="34"/>
      <c r="N116" s="10"/>
      <c r="O116" s="1"/>
      <c r="P116" s="10"/>
      <c r="Q116" s="10"/>
      <c r="R116" s="10"/>
      <c r="S116" s="10"/>
      <c r="T116" s="10"/>
      <c r="U116" s="1"/>
    </row>
    <row x14ac:dyDescent="0.25" r="117" customHeight="1" ht="19.5" hidden="1">
      <c r="A117" s="1"/>
      <c r="B117" s="20">
        <v>2</v>
      </c>
      <c r="C117" s="71"/>
      <c r="D117" s="71"/>
      <c r="E117" s="71"/>
      <c r="F117" s="71"/>
      <c r="G117" s="72"/>
      <c r="H117" s="73"/>
      <c r="I117" s="74"/>
      <c r="J117" s="74"/>
      <c r="K117" s="36">
        <f>(I117+J117)*10000</f>
      </c>
      <c r="L117" s="36">
        <f>K117*L113</f>
      </c>
      <c r="M117" s="34"/>
      <c r="N117" s="10"/>
      <c r="O117" s="1"/>
      <c r="P117" s="10"/>
      <c r="Q117" s="10"/>
      <c r="R117" s="10"/>
      <c r="S117" s="10"/>
      <c r="T117" s="10"/>
      <c r="U117" s="1"/>
    </row>
    <row x14ac:dyDescent="0.25" r="118" customHeight="1" ht="19.5" hidden="1">
      <c r="A118" s="1"/>
      <c r="B118" s="20">
        <v>3</v>
      </c>
      <c r="C118" s="71"/>
      <c r="D118" s="71"/>
      <c r="E118" s="71"/>
      <c r="F118" s="71"/>
      <c r="G118" s="73"/>
      <c r="H118" s="73"/>
      <c r="I118" s="74"/>
      <c r="J118" s="74"/>
      <c r="K118" s="36">
        <f>(I118+J118)*10000</f>
      </c>
      <c r="L118" s="36">
        <f>K118*L113</f>
      </c>
      <c r="M118" s="34"/>
      <c r="N118" s="10"/>
      <c r="O118" s="1"/>
      <c r="P118" s="10"/>
      <c r="Q118" s="10"/>
      <c r="R118" s="10"/>
      <c r="S118" s="10"/>
      <c r="T118" s="10"/>
      <c r="U118" s="1"/>
    </row>
    <row x14ac:dyDescent="0.25" r="119" customHeight="1" ht="19.5" hidden="1">
      <c r="A119" s="1"/>
      <c r="B119" s="20">
        <v>4</v>
      </c>
      <c r="C119" s="71"/>
      <c r="D119" s="71"/>
      <c r="E119" s="71"/>
      <c r="F119" s="71"/>
      <c r="G119" s="72"/>
      <c r="H119" s="73"/>
      <c r="I119" s="74"/>
      <c r="J119" s="74"/>
      <c r="K119" s="36">
        <f>(I119+J119)*10000</f>
      </c>
      <c r="L119" s="36">
        <f>K119*L113</f>
      </c>
      <c r="M119" s="34"/>
      <c r="N119" s="10"/>
      <c r="O119" s="1"/>
      <c r="P119" s="10"/>
      <c r="Q119" s="10"/>
      <c r="R119" s="10"/>
      <c r="S119" s="10"/>
      <c r="T119" s="10"/>
      <c r="U119" s="1"/>
    </row>
    <row x14ac:dyDescent="0.25" r="120" customHeight="1" ht="19.5" hidden="1">
      <c r="A120" s="1"/>
      <c r="B120" s="20">
        <v>5</v>
      </c>
      <c r="C120" s="71"/>
      <c r="D120" s="71"/>
      <c r="E120" s="71"/>
      <c r="F120" s="71"/>
      <c r="G120" s="73"/>
      <c r="H120" s="73"/>
      <c r="I120" s="74"/>
      <c r="J120" s="74"/>
      <c r="K120" s="36">
        <f>(I120+J120)*10000</f>
      </c>
      <c r="L120" s="36">
        <f>K120*L113</f>
      </c>
      <c r="M120" s="34"/>
      <c r="N120" s="10"/>
      <c r="O120" s="1"/>
      <c r="P120" s="10"/>
      <c r="Q120" s="10"/>
      <c r="R120" s="10"/>
      <c r="S120" s="10"/>
      <c r="T120" s="10"/>
      <c r="U120" s="1"/>
    </row>
    <row x14ac:dyDescent="0.25" r="121" customHeight="1" ht="19.5" hidden="1">
      <c r="A121" s="1"/>
      <c r="B121" s="20">
        <v>6</v>
      </c>
      <c r="C121" s="71"/>
      <c r="D121" s="75"/>
      <c r="E121" s="71"/>
      <c r="F121" s="71"/>
      <c r="G121" s="73"/>
      <c r="H121" s="73"/>
      <c r="I121" s="74"/>
      <c r="J121" s="74"/>
      <c r="K121" s="36">
        <f>(I121+J121)*10000</f>
      </c>
      <c r="L121" s="36">
        <f>K121*L113</f>
      </c>
      <c r="M121" s="34"/>
      <c r="N121" s="10"/>
      <c r="O121" s="1"/>
      <c r="P121" s="10"/>
      <c r="Q121" s="10"/>
      <c r="R121" s="10"/>
      <c r="S121" s="10"/>
      <c r="T121" s="10"/>
      <c r="U121" s="1"/>
    </row>
    <row x14ac:dyDescent="0.25" r="122" customHeight="1" ht="19.5" hidden="1">
      <c r="A122" s="1"/>
      <c r="B122" s="20">
        <v>7</v>
      </c>
      <c r="C122" s="71"/>
      <c r="D122" s="75"/>
      <c r="E122" s="71"/>
      <c r="F122" s="71"/>
      <c r="G122" s="73"/>
      <c r="H122" s="73"/>
      <c r="I122" s="74"/>
      <c r="J122" s="74"/>
      <c r="K122" s="36">
        <f>(I122+J122)*10000</f>
      </c>
      <c r="L122" s="36">
        <f>K122*L113</f>
      </c>
      <c r="M122" s="47"/>
      <c r="N122" s="17"/>
      <c r="O122" s="1"/>
      <c r="P122" s="10"/>
      <c r="Q122" s="10"/>
      <c r="R122" s="10"/>
      <c r="S122" s="10"/>
      <c r="T122" s="10"/>
      <c r="U122" s="1"/>
    </row>
    <row x14ac:dyDescent="0.25" r="123" customHeight="1" ht="19.5">
      <c r="A123" s="1"/>
      <c r="B123" s="20">
        <v>8</v>
      </c>
      <c r="C123" s="132" t="s">
        <v>39</v>
      </c>
      <c r="D123" s="132"/>
      <c r="E123" s="132"/>
      <c r="F123" s="132"/>
      <c r="G123" s="132"/>
      <c r="H123" s="132"/>
      <c r="I123" s="132"/>
      <c r="J123" s="132"/>
      <c r="K123" s="122" t="s">
        <v>5</v>
      </c>
      <c r="L123" s="127">
        <v>0.6</v>
      </c>
      <c r="M123" s="24">
        <f>SUM(K125:K132)</f>
      </c>
      <c r="N123" s="25">
        <f>SUM(L125:L132)</f>
      </c>
      <c r="O123" s="19"/>
      <c r="P123" s="10"/>
      <c r="Q123" s="10"/>
      <c r="R123" s="10"/>
      <c r="S123" s="10"/>
      <c r="T123" s="10"/>
      <c r="U123" s="1"/>
    </row>
    <row x14ac:dyDescent="0.25" r="124" customHeight="1" ht="16.5">
      <c r="A124" s="1"/>
      <c r="B124" s="20" t="s">
        <v>6</v>
      </c>
      <c r="C124" s="27" t="s">
        <v>7</v>
      </c>
      <c r="D124" s="27"/>
      <c r="E124" s="27" t="s">
        <v>8</v>
      </c>
      <c r="F124" s="27" t="s">
        <v>9</v>
      </c>
      <c r="G124" s="27" t="s">
        <v>10</v>
      </c>
      <c r="H124" s="27" t="s">
        <v>11</v>
      </c>
      <c r="I124" s="27" t="s">
        <v>12</v>
      </c>
      <c r="J124" s="27" t="s">
        <v>13</v>
      </c>
      <c r="K124" s="28" t="s">
        <v>14</v>
      </c>
      <c r="L124" s="28" t="s">
        <v>15</v>
      </c>
      <c r="M124" s="49" t="s">
        <v>40</v>
      </c>
      <c r="N124" s="50"/>
      <c r="O124" s="1"/>
      <c r="P124" s="10"/>
      <c r="Q124" s="10"/>
      <c r="R124" s="10"/>
      <c r="S124" s="10"/>
      <c r="T124" s="10"/>
      <c r="U124" s="1"/>
    </row>
    <row x14ac:dyDescent="0.25" r="125" customHeight="1" ht="16.5">
      <c r="A125" s="1"/>
      <c r="B125" s="20">
        <v>1</v>
      </c>
      <c r="C125" s="71"/>
      <c r="D125" s="71"/>
      <c r="E125" s="71"/>
      <c r="F125" s="71"/>
      <c r="G125" s="72"/>
      <c r="H125" s="73"/>
      <c r="I125" s="74"/>
      <c r="J125" s="74"/>
      <c r="K125" s="133">
        <f>(I125+J125)*10000</f>
      </c>
      <c r="L125" s="133">
        <f>K125*L123</f>
      </c>
      <c r="M125" s="34"/>
      <c r="N125" s="10"/>
      <c r="O125" s="1"/>
      <c r="P125" s="10"/>
      <c r="Q125" s="10"/>
      <c r="R125" s="10"/>
      <c r="S125" s="10"/>
      <c r="T125" s="10"/>
      <c r="U125" s="1"/>
    </row>
    <row x14ac:dyDescent="0.25" r="126" customHeight="1" ht="16.5">
      <c r="A126" s="1"/>
      <c r="B126" s="20">
        <v>2</v>
      </c>
      <c r="C126" s="71"/>
      <c r="D126" s="71"/>
      <c r="E126" s="71"/>
      <c r="F126" s="71"/>
      <c r="G126" s="72"/>
      <c r="H126" s="73"/>
      <c r="I126" s="74"/>
      <c r="J126" s="74"/>
      <c r="K126" s="133">
        <f>(I126+J126)*10000</f>
      </c>
      <c r="L126" s="133">
        <f>K126*L123</f>
      </c>
      <c r="M126" s="34"/>
      <c r="N126" s="10"/>
      <c r="O126" s="1"/>
      <c r="P126" s="10"/>
      <c r="Q126" s="10"/>
      <c r="R126" s="10"/>
      <c r="S126" s="10"/>
      <c r="T126" s="10"/>
      <c r="U126" s="1"/>
    </row>
    <row x14ac:dyDescent="0.25" r="127" customHeight="1" ht="16.5">
      <c r="A127" s="1"/>
      <c r="B127" s="20">
        <v>3</v>
      </c>
      <c r="C127" s="71"/>
      <c r="D127" s="71"/>
      <c r="E127" s="71"/>
      <c r="F127" s="71"/>
      <c r="G127" s="72"/>
      <c r="H127" s="73"/>
      <c r="I127" s="74"/>
      <c r="J127" s="74"/>
      <c r="K127" s="133">
        <f>(I127+J127)*10000</f>
      </c>
      <c r="L127" s="133">
        <f>K127*L123</f>
      </c>
      <c r="M127" s="34"/>
      <c r="N127" s="10"/>
      <c r="O127" s="1"/>
      <c r="P127" s="10"/>
      <c r="Q127" s="10"/>
      <c r="R127" s="10"/>
      <c r="S127" s="10"/>
      <c r="T127" s="10"/>
      <c r="U127" s="1"/>
    </row>
    <row x14ac:dyDescent="0.25" r="128" customHeight="1" ht="16.5">
      <c r="A128" s="1"/>
      <c r="B128" s="20">
        <v>4</v>
      </c>
      <c r="C128" s="71"/>
      <c r="D128" s="71"/>
      <c r="E128" s="71"/>
      <c r="F128" s="71"/>
      <c r="G128" s="73"/>
      <c r="H128" s="73"/>
      <c r="I128" s="74"/>
      <c r="J128" s="74"/>
      <c r="K128" s="133">
        <f>(I128+J128)*10000</f>
      </c>
      <c r="L128" s="133">
        <f>K128*L123</f>
      </c>
      <c r="M128" s="34"/>
      <c r="N128" s="10"/>
      <c r="O128" s="1"/>
      <c r="P128" s="10"/>
      <c r="Q128" s="10"/>
      <c r="R128" s="10"/>
      <c r="S128" s="10"/>
      <c r="T128" s="10"/>
      <c r="U128" s="1"/>
    </row>
    <row x14ac:dyDescent="0.25" r="129" customHeight="1" ht="16.5">
      <c r="A129" s="1"/>
      <c r="B129" s="20">
        <v>5</v>
      </c>
      <c r="C129" s="71"/>
      <c r="D129" s="71"/>
      <c r="E129" s="71"/>
      <c r="F129" s="71"/>
      <c r="G129" s="72"/>
      <c r="H129" s="73"/>
      <c r="I129" s="74"/>
      <c r="J129" s="74"/>
      <c r="K129" s="133">
        <f>(I129+J129)*10000</f>
      </c>
      <c r="L129" s="133">
        <f>K129*L123</f>
      </c>
      <c r="M129" s="34"/>
      <c r="N129" s="10"/>
      <c r="O129" s="1"/>
      <c r="P129" s="10"/>
      <c r="Q129" s="10"/>
      <c r="R129" s="10"/>
      <c r="S129" s="10"/>
      <c r="T129" s="10"/>
      <c r="U129" s="1"/>
    </row>
    <row x14ac:dyDescent="0.25" r="130" customHeight="1" ht="16.5">
      <c r="A130" s="1"/>
      <c r="B130" s="20">
        <v>6</v>
      </c>
      <c r="C130" s="71"/>
      <c r="D130" s="71"/>
      <c r="E130" s="71"/>
      <c r="F130" s="71"/>
      <c r="G130" s="73"/>
      <c r="H130" s="73"/>
      <c r="I130" s="74"/>
      <c r="J130" s="74"/>
      <c r="K130" s="133">
        <f>(I130+J130)*10000</f>
      </c>
      <c r="L130" s="133">
        <f>K130*L123</f>
      </c>
      <c r="M130" s="34"/>
      <c r="N130" s="10"/>
      <c r="O130" s="1"/>
      <c r="P130" s="10"/>
      <c r="Q130" s="10"/>
      <c r="R130" s="10"/>
      <c r="S130" s="10"/>
      <c r="T130" s="10"/>
      <c r="U130" s="1"/>
    </row>
    <row x14ac:dyDescent="0.25" r="131" customHeight="1" ht="16.5">
      <c r="A131" s="1"/>
      <c r="B131" s="20">
        <v>7</v>
      </c>
      <c r="C131" s="71"/>
      <c r="D131" s="75"/>
      <c r="E131" s="71"/>
      <c r="F131" s="71"/>
      <c r="G131" s="73"/>
      <c r="H131" s="73"/>
      <c r="I131" s="74"/>
      <c r="J131" s="74"/>
      <c r="K131" s="133">
        <f>(I131+J131)*10000</f>
      </c>
      <c r="L131" s="133">
        <f>K131*L123</f>
      </c>
      <c r="M131" s="34"/>
      <c r="N131" s="10"/>
      <c r="O131" s="1"/>
      <c r="P131" s="10"/>
      <c r="Q131" s="10"/>
      <c r="R131" s="10"/>
      <c r="S131" s="10"/>
      <c r="T131" s="10"/>
      <c r="U131" s="1"/>
    </row>
    <row x14ac:dyDescent="0.25" r="132" customHeight="1" ht="16.5">
      <c r="A132" s="1"/>
      <c r="B132" s="20">
        <v>8</v>
      </c>
      <c r="C132" s="71"/>
      <c r="D132" s="75"/>
      <c r="E132" s="71"/>
      <c r="F132" s="71"/>
      <c r="G132" s="73"/>
      <c r="H132" s="73"/>
      <c r="I132" s="74"/>
      <c r="J132" s="74"/>
      <c r="K132" s="133">
        <f>(I132+J132)*10000</f>
      </c>
      <c r="L132" s="133">
        <f>K132*L123</f>
      </c>
      <c r="M132" s="47"/>
      <c r="N132" s="17"/>
      <c r="O132" s="1"/>
      <c r="P132" s="10"/>
      <c r="Q132" s="10"/>
      <c r="R132" s="10"/>
      <c r="S132" s="10"/>
      <c r="T132" s="10"/>
      <c r="U132" s="1"/>
    </row>
    <row x14ac:dyDescent="0.25" r="133" customHeight="1" ht="19.5" hidden="1">
      <c r="A133" s="1"/>
      <c r="B133" s="20"/>
      <c r="C133" s="132" t="s">
        <v>41</v>
      </c>
      <c r="D133" s="132"/>
      <c r="E133" s="132"/>
      <c r="F133" s="132"/>
      <c r="G133" s="132"/>
      <c r="H133" s="132"/>
      <c r="I133" s="132"/>
      <c r="J133" s="132"/>
      <c r="K133" s="122" t="s">
        <v>5</v>
      </c>
      <c r="L133" s="131">
        <v>0.65</v>
      </c>
      <c r="M133" s="24">
        <f>SUM(K135:K142)</f>
      </c>
      <c r="N133" s="25">
        <f>SUM(L135:L142)</f>
      </c>
      <c r="O133" s="19"/>
      <c r="P133" s="10"/>
      <c r="Q133" s="10"/>
      <c r="R133" s="10"/>
      <c r="S133" s="10"/>
      <c r="T133" s="10"/>
      <c r="U133" s="1"/>
    </row>
    <row x14ac:dyDescent="0.25" r="134" customHeight="1" ht="19.5" hidden="1">
      <c r="A134" s="1"/>
      <c r="B134" s="20" t="s">
        <v>6</v>
      </c>
      <c r="C134" s="27" t="s">
        <v>7</v>
      </c>
      <c r="D134" s="27"/>
      <c r="E134" s="27" t="s">
        <v>8</v>
      </c>
      <c r="F134" s="27" t="s">
        <v>9</v>
      </c>
      <c r="G134" s="27" t="s">
        <v>10</v>
      </c>
      <c r="H134" s="27" t="s">
        <v>11</v>
      </c>
      <c r="I134" s="27" t="s">
        <v>12</v>
      </c>
      <c r="J134" s="27" t="s">
        <v>13</v>
      </c>
      <c r="K134" s="28" t="s">
        <v>14</v>
      </c>
      <c r="L134" s="28" t="s">
        <v>15</v>
      </c>
      <c r="M134" s="49" t="s">
        <v>42</v>
      </c>
      <c r="N134" s="50"/>
      <c r="O134" s="1"/>
      <c r="P134" s="10"/>
      <c r="Q134" s="10"/>
      <c r="R134" s="10"/>
      <c r="S134" s="10"/>
      <c r="T134" s="10"/>
      <c r="U134" s="1"/>
    </row>
    <row x14ac:dyDescent="0.25" r="135" customHeight="1" ht="19.5" hidden="1">
      <c r="A135" s="1"/>
      <c r="B135" s="20">
        <v>1</v>
      </c>
      <c r="C135" s="71"/>
      <c r="D135" s="71"/>
      <c r="E135" s="71"/>
      <c r="F135" s="71"/>
      <c r="G135" s="72"/>
      <c r="H135" s="73"/>
      <c r="I135" s="74"/>
      <c r="J135" s="74"/>
      <c r="K135" s="133">
        <f>(I135+J135)*10000</f>
      </c>
      <c r="L135" s="133">
        <f>K135*L133</f>
      </c>
      <c r="M135" s="34"/>
      <c r="N135" s="10"/>
      <c r="O135" s="1"/>
      <c r="P135" s="10"/>
      <c r="Q135" s="10"/>
      <c r="R135" s="10"/>
      <c r="S135" s="10"/>
      <c r="T135" s="10"/>
      <c r="U135" s="1"/>
    </row>
    <row x14ac:dyDescent="0.25" r="136" customHeight="1" ht="19.5" hidden="1">
      <c r="A136" s="1"/>
      <c r="B136" s="20">
        <v>2</v>
      </c>
      <c r="C136" s="71"/>
      <c r="D136" s="71"/>
      <c r="E136" s="71"/>
      <c r="F136" s="71"/>
      <c r="G136" s="72"/>
      <c r="H136" s="73"/>
      <c r="I136" s="74"/>
      <c r="J136" s="74"/>
      <c r="K136" s="133">
        <f>(I136+J136)*10000</f>
      </c>
      <c r="L136" s="133">
        <f>K136*L133</f>
      </c>
      <c r="M136" s="34"/>
      <c r="N136" s="10"/>
      <c r="O136" s="1"/>
      <c r="P136" s="10"/>
      <c r="Q136" s="10"/>
      <c r="R136" s="10"/>
      <c r="S136" s="10"/>
      <c r="T136" s="10"/>
      <c r="U136" s="1"/>
    </row>
    <row x14ac:dyDescent="0.25" r="137" customHeight="1" ht="19.5" hidden="1">
      <c r="A137" s="1"/>
      <c r="B137" s="20">
        <v>3</v>
      </c>
      <c r="C137" s="71"/>
      <c r="D137" s="71"/>
      <c r="E137" s="71"/>
      <c r="F137" s="71"/>
      <c r="G137" s="72"/>
      <c r="H137" s="73"/>
      <c r="I137" s="74"/>
      <c r="J137" s="74"/>
      <c r="K137" s="133">
        <f>(I137+J137)*10000</f>
      </c>
      <c r="L137" s="133">
        <f>K137*L133</f>
      </c>
      <c r="M137" s="34"/>
      <c r="N137" s="10"/>
      <c r="O137" s="1"/>
      <c r="P137" s="10"/>
      <c r="Q137" s="10"/>
      <c r="R137" s="10"/>
      <c r="S137" s="10"/>
      <c r="T137" s="10"/>
      <c r="U137" s="1"/>
    </row>
    <row x14ac:dyDescent="0.25" r="138" customHeight="1" ht="19.5" hidden="1">
      <c r="A138" s="1"/>
      <c r="B138" s="20">
        <v>4</v>
      </c>
      <c r="C138" s="71"/>
      <c r="D138" s="71"/>
      <c r="E138" s="71"/>
      <c r="F138" s="71"/>
      <c r="G138" s="73"/>
      <c r="H138" s="73"/>
      <c r="I138" s="74"/>
      <c r="J138" s="74"/>
      <c r="K138" s="133">
        <f>(I138+J138)*10000</f>
      </c>
      <c r="L138" s="133">
        <f>K138*L133</f>
      </c>
      <c r="M138" s="34"/>
      <c r="N138" s="10"/>
      <c r="O138" s="1"/>
      <c r="P138" s="10"/>
      <c r="Q138" s="10"/>
      <c r="R138" s="10"/>
      <c r="S138" s="10"/>
      <c r="T138" s="10"/>
      <c r="U138" s="1"/>
    </row>
    <row x14ac:dyDescent="0.25" r="139" customHeight="1" ht="19.5" hidden="1">
      <c r="A139" s="1"/>
      <c r="B139" s="20">
        <v>5</v>
      </c>
      <c r="C139" s="71"/>
      <c r="D139" s="71"/>
      <c r="E139" s="71"/>
      <c r="F139" s="71"/>
      <c r="G139" s="72"/>
      <c r="H139" s="73"/>
      <c r="I139" s="74"/>
      <c r="J139" s="74"/>
      <c r="K139" s="133">
        <f>(I139+J139)*10000</f>
      </c>
      <c r="L139" s="133">
        <f>K139*L133</f>
      </c>
      <c r="M139" s="34"/>
      <c r="N139" s="10"/>
      <c r="O139" s="1"/>
      <c r="P139" s="10"/>
      <c r="Q139" s="10"/>
      <c r="R139" s="10"/>
      <c r="S139" s="10"/>
      <c r="T139" s="10"/>
      <c r="U139" s="1"/>
    </row>
    <row x14ac:dyDescent="0.25" r="140" customHeight="1" ht="19.5" hidden="1">
      <c r="A140" s="1"/>
      <c r="B140" s="20">
        <v>6</v>
      </c>
      <c r="C140" s="71"/>
      <c r="D140" s="71"/>
      <c r="E140" s="71"/>
      <c r="F140" s="71"/>
      <c r="G140" s="73"/>
      <c r="H140" s="73"/>
      <c r="I140" s="74"/>
      <c r="J140" s="74"/>
      <c r="K140" s="133">
        <f>(I140+J140)*10000</f>
      </c>
      <c r="L140" s="133">
        <f>K140*L133</f>
      </c>
      <c r="M140" s="34"/>
      <c r="N140" s="10"/>
      <c r="O140" s="1"/>
      <c r="P140" s="10"/>
      <c r="Q140" s="10"/>
      <c r="R140" s="10"/>
      <c r="S140" s="10"/>
      <c r="T140" s="10"/>
      <c r="U140" s="1"/>
    </row>
    <row x14ac:dyDescent="0.25" r="141" customHeight="1" ht="19.5" hidden="1">
      <c r="A141" s="1"/>
      <c r="B141" s="20">
        <v>7</v>
      </c>
      <c r="C141" s="71"/>
      <c r="D141" s="75"/>
      <c r="E141" s="71"/>
      <c r="F141" s="71"/>
      <c r="G141" s="73"/>
      <c r="H141" s="73"/>
      <c r="I141" s="74"/>
      <c r="J141" s="74"/>
      <c r="K141" s="133">
        <f>(I141+J141)*10000</f>
      </c>
      <c r="L141" s="133">
        <f>K141*L133</f>
      </c>
      <c r="M141" s="34"/>
      <c r="N141" s="10"/>
      <c r="O141" s="1"/>
      <c r="P141" s="10"/>
      <c r="Q141" s="10"/>
      <c r="R141" s="10"/>
      <c r="S141" s="10"/>
      <c r="T141" s="10"/>
      <c r="U141" s="1"/>
    </row>
    <row x14ac:dyDescent="0.25" r="142" customHeight="1" ht="19.5" hidden="1">
      <c r="A142" s="1"/>
      <c r="B142" s="20">
        <v>8</v>
      </c>
      <c r="C142" s="71"/>
      <c r="D142" s="75"/>
      <c r="E142" s="71"/>
      <c r="F142" s="71"/>
      <c r="G142" s="73"/>
      <c r="H142" s="73"/>
      <c r="I142" s="74"/>
      <c r="J142" s="74"/>
      <c r="K142" s="133">
        <f>(I142+J142)*10000</f>
      </c>
      <c r="L142" s="133">
        <f>K142*L133</f>
      </c>
      <c r="M142" s="47"/>
      <c r="N142" s="17"/>
      <c r="O142" s="1"/>
      <c r="P142" s="10"/>
      <c r="Q142" s="10"/>
      <c r="R142" s="10"/>
      <c r="S142" s="10"/>
      <c r="T142" s="10"/>
      <c r="U142" s="1"/>
    </row>
    <row x14ac:dyDescent="0.25" r="143" customHeight="1" ht="19.5" hidden="1">
      <c r="A143" s="1"/>
      <c r="B143" s="20"/>
      <c r="C143" s="134" t="s">
        <v>43</v>
      </c>
      <c r="D143" s="134"/>
      <c r="E143" s="134"/>
      <c r="F143" s="134"/>
      <c r="G143" s="134"/>
      <c r="H143" s="134"/>
      <c r="I143" s="134"/>
      <c r="J143" s="134"/>
      <c r="K143" s="122" t="s">
        <v>5</v>
      </c>
      <c r="L143" s="127">
        <v>0.6</v>
      </c>
      <c r="M143" s="24">
        <f>SUM(K145:K152)</f>
      </c>
      <c r="N143" s="25">
        <f>SUM(L145:L152)</f>
      </c>
      <c r="O143" s="19"/>
      <c r="P143" s="10"/>
      <c r="Q143" s="10"/>
      <c r="R143" s="10"/>
      <c r="S143" s="10"/>
      <c r="T143" s="10"/>
      <c r="U143" s="1"/>
    </row>
    <row x14ac:dyDescent="0.25" r="144" customHeight="1" ht="19.5" hidden="1">
      <c r="A144" s="1"/>
      <c r="B144" s="20" t="s">
        <v>6</v>
      </c>
      <c r="C144" s="27" t="s">
        <v>7</v>
      </c>
      <c r="D144" s="27"/>
      <c r="E144" s="27" t="s">
        <v>8</v>
      </c>
      <c r="F144" s="27" t="s">
        <v>9</v>
      </c>
      <c r="G144" s="27" t="s">
        <v>10</v>
      </c>
      <c r="H144" s="27" t="s">
        <v>11</v>
      </c>
      <c r="I144" s="27" t="s">
        <v>12</v>
      </c>
      <c r="J144" s="27" t="s">
        <v>13</v>
      </c>
      <c r="K144" s="28" t="s">
        <v>14</v>
      </c>
      <c r="L144" s="28" t="s">
        <v>15</v>
      </c>
      <c r="M144" s="29"/>
      <c r="N144" s="30"/>
      <c r="O144" s="1"/>
      <c r="P144" s="10"/>
      <c r="Q144" s="10"/>
      <c r="R144" s="10"/>
      <c r="S144" s="10"/>
      <c r="T144" s="10"/>
      <c r="U144" s="1"/>
    </row>
    <row x14ac:dyDescent="0.25" r="145" customHeight="1" ht="19.5" hidden="1">
      <c r="A145" s="1"/>
      <c r="B145" s="20">
        <v>1</v>
      </c>
      <c r="C145" s="68"/>
      <c r="D145" s="68"/>
      <c r="E145" s="68"/>
      <c r="F145" s="68"/>
      <c r="G145" s="69" t="s">
        <v>44</v>
      </c>
      <c r="H145" s="70"/>
      <c r="I145" s="35"/>
      <c r="J145" s="35"/>
      <c r="K145" s="133">
        <f>(I145+J145)*10000</f>
      </c>
      <c r="L145" s="133">
        <f>K145*L143</f>
      </c>
      <c r="M145" s="34"/>
      <c r="N145" s="10"/>
      <c r="O145" s="1"/>
      <c r="P145" s="10"/>
      <c r="Q145" s="10"/>
      <c r="R145" s="10"/>
      <c r="S145" s="10"/>
      <c r="T145" s="10"/>
      <c r="U145" s="1"/>
    </row>
    <row x14ac:dyDescent="0.25" r="146" customHeight="1" ht="19.5" hidden="1">
      <c r="A146" s="1"/>
      <c r="B146" s="20">
        <v>2</v>
      </c>
      <c r="C146" s="71"/>
      <c r="D146" s="71"/>
      <c r="E146" s="71"/>
      <c r="F146" s="71"/>
      <c r="G146" s="72"/>
      <c r="H146" s="73"/>
      <c r="I146" s="74"/>
      <c r="J146" s="74"/>
      <c r="K146" s="133">
        <f>(I146+J146)*10000</f>
      </c>
      <c r="L146" s="133">
        <f>K146*L143</f>
      </c>
      <c r="M146" s="34"/>
      <c r="N146" s="10"/>
      <c r="O146" s="1"/>
      <c r="P146" s="10"/>
      <c r="Q146" s="10"/>
      <c r="R146" s="10"/>
      <c r="S146" s="10"/>
      <c r="T146" s="10"/>
      <c r="U146" s="1"/>
    </row>
    <row x14ac:dyDescent="0.25" r="147" customHeight="1" ht="19.5" hidden="1">
      <c r="A147" s="1"/>
      <c r="B147" s="20">
        <v>3</v>
      </c>
      <c r="C147" s="71"/>
      <c r="D147" s="71"/>
      <c r="E147" s="71"/>
      <c r="F147" s="71"/>
      <c r="G147" s="72"/>
      <c r="H147" s="73"/>
      <c r="I147" s="74"/>
      <c r="J147" s="74"/>
      <c r="K147" s="133">
        <f>(I147+J147)*10000</f>
      </c>
      <c r="L147" s="133">
        <f>K147*L143</f>
      </c>
      <c r="M147" s="34"/>
      <c r="N147" s="10"/>
      <c r="O147" s="1"/>
      <c r="P147" s="10"/>
      <c r="Q147" s="10"/>
      <c r="R147" s="10"/>
      <c r="S147" s="10"/>
      <c r="T147" s="10"/>
      <c r="U147" s="1"/>
    </row>
    <row x14ac:dyDescent="0.25" r="148" customHeight="1" ht="19.5" hidden="1">
      <c r="A148" s="1"/>
      <c r="B148" s="20">
        <v>4</v>
      </c>
      <c r="C148" s="71"/>
      <c r="D148" s="71"/>
      <c r="E148" s="71"/>
      <c r="F148" s="71"/>
      <c r="G148" s="73"/>
      <c r="H148" s="73"/>
      <c r="I148" s="74"/>
      <c r="J148" s="74"/>
      <c r="K148" s="133">
        <f>(I148+J148)*10000</f>
      </c>
      <c r="L148" s="133">
        <f>K148*L143</f>
      </c>
      <c r="M148" s="34"/>
      <c r="N148" s="10"/>
      <c r="O148" s="1"/>
      <c r="P148" s="10"/>
      <c r="Q148" s="10"/>
      <c r="R148" s="10"/>
      <c r="S148" s="10"/>
      <c r="T148" s="10"/>
      <c r="U148" s="1"/>
    </row>
    <row x14ac:dyDescent="0.25" r="149" customHeight="1" ht="19.5" hidden="1">
      <c r="A149" s="1"/>
      <c r="B149" s="20">
        <v>5</v>
      </c>
      <c r="C149" s="71"/>
      <c r="D149" s="71"/>
      <c r="E149" s="71"/>
      <c r="F149" s="71"/>
      <c r="G149" s="72"/>
      <c r="H149" s="73"/>
      <c r="I149" s="74"/>
      <c r="J149" s="74"/>
      <c r="K149" s="133">
        <f>(I149+J149)*10000</f>
      </c>
      <c r="L149" s="133">
        <f>K149*L143</f>
      </c>
      <c r="M149" s="34"/>
      <c r="N149" s="10"/>
      <c r="O149" s="1"/>
      <c r="P149" s="10"/>
      <c r="Q149" s="10"/>
      <c r="R149" s="10"/>
      <c r="S149" s="10"/>
      <c r="T149" s="10"/>
      <c r="U149" s="1"/>
    </row>
    <row x14ac:dyDescent="0.25" r="150" customHeight="1" ht="19.5" hidden="1">
      <c r="A150" s="1"/>
      <c r="B150" s="20">
        <v>6</v>
      </c>
      <c r="C150" s="71"/>
      <c r="D150" s="71"/>
      <c r="E150" s="71"/>
      <c r="F150" s="71"/>
      <c r="G150" s="73"/>
      <c r="H150" s="73"/>
      <c r="I150" s="74"/>
      <c r="J150" s="74"/>
      <c r="K150" s="133">
        <f>(I150+J150)*10000</f>
      </c>
      <c r="L150" s="133">
        <f>K150*L143</f>
      </c>
      <c r="M150" s="34"/>
      <c r="N150" s="10"/>
      <c r="O150" s="1"/>
      <c r="P150" s="10"/>
      <c r="Q150" s="10"/>
      <c r="R150" s="10"/>
      <c r="S150" s="10"/>
      <c r="T150" s="10"/>
      <c r="U150" s="1"/>
    </row>
    <row x14ac:dyDescent="0.25" r="151" customHeight="1" ht="19.5" hidden="1">
      <c r="A151" s="1"/>
      <c r="B151" s="20">
        <v>7</v>
      </c>
      <c r="C151" s="71"/>
      <c r="D151" s="75"/>
      <c r="E151" s="71"/>
      <c r="F151" s="71"/>
      <c r="G151" s="73"/>
      <c r="H151" s="73"/>
      <c r="I151" s="74"/>
      <c r="J151" s="74"/>
      <c r="K151" s="133">
        <f>(I151+J151)*10000</f>
      </c>
      <c r="L151" s="133">
        <f>K151*L143</f>
      </c>
      <c r="M151" s="34"/>
      <c r="N151" s="10"/>
      <c r="O151" s="1"/>
      <c r="P151" s="10"/>
      <c r="Q151" s="10"/>
      <c r="R151" s="10"/>
      <c r="S151" s="10"/>
      <c r="T151" s="10"/>
      <c r="U151" s="1"/>
    </row>
    <row x14ac:dyDescent="0.25" r="152" customHeight="1" ht="19.5" hidden="1">
      <c r="A152" s="1"/>
      <c r="B152" s="20">
        <v>8</v>
      </c>
      <c r="C152" s="71"/>
      <c r="D152" s="75"/>
      <c r="E152" s="71"/>
      <c r="F152" s="71"/>
      <c r="G152" s="73"/>
      <c r="H152" s="73"/>
      <c r="I152" s="74"/>
      <c r="J152" s="74"/>
      <c r="K152" s="133">
        <f>(I152+J152)*10000</f>
      </c>
      <c r="L152" s="133">
        <f>K152*L143</f>
      </c>
      <c r="M152" s="47"/>
      <c r="N152" s="17"/>
      <c r="O152" s="1"/>
      <c r="P152" s="10"/>
      <c r="Q152" s="10"/>
      <c r="R152" s="10"/>
      <c r="S152" s="10"/>
      <c r="T152" s="10"/>
      <c r="U152" s="1"/>
    </row>
    <row x14ac:dyDescent="0.25" r="153" customHeight="1" ht="19.5" hidden="1">
      <c r="A153" s="76"/>
      <c r="B153" s="77"/>
      <c r="C153" s="135" t="s">
        <v>45</v>
      </c>
      <c r="D153" s="135"/>
      <c r="E153" s="135"/>
      <c r="F153" s="135"/>
      <c r="G153" s="135"/>
      <c r="H153" s="135"/>
      <c r="I153" s="135"/>
      <c r="J153" s="135"/>
      <c r="K153" s="122" t="s">
        <v>5</v>
      </c>
      <c r="L153" s="131">
        <v>0.65</v>
      </c>
      <c r="M153" s="24">
        <f>SUM(K155:K162)</f>
      </c>
      <c r="N153" s="25">
        <f>SUM(L155:L162)</f>
      </c>
      <c r="O153" s="19"/>
      <c r="P153" s="10"/>
      <c r="Q153" s="10"/>
      <c r="R153" s="10"/>
      <c r="S153" s="10"/>
      <c r="T153" s="10"/>
      <c r="U153" s="1"/>
    </row>
    <row x14ac:dyDescent="0.25" r="154" customHeight="1" ht="19.5" hidden="1">
      <c r="A154" s="76"/>
      <c r="B154" s="77"/>
      <c r="C154" s="27" t="s">
        <v>7</v>
      </c>
      <c r="D154" s="27"/>
      <c r="E154" s="27" t="s">
        <v>8</v>
      </c>
      <c r="F154" s="27" t="s">
        <v>9</v>
      </c>
      <c r="G154" s="27" t="s">
        <v>10</v>
      </c>
      <c r="H154" s="27" t="s">
        <v>11</v>
      </c>
      <c r="I154" s="27" t="s">
        <v>12</v>
      </c>
      <c r="J154" s="27" t="s">
        <v>13</v>
      </c>
      <c r="K154" s="28" t="s">
        <v>14</v>
      </c>
      <c r="L154" s="28" t="s">
        <v>15</v>
      </c>
      <c r="M154" s="49" t="s">
        <v>46</v>
      </c>
      <c r="N154" s="50"/>
      <c r="O154" s="1"/>
      <c r="P154" s="10"/>
      <c r="Q154" s="10"/>
      <c r="R154" s="10"/>
      <c r="S154" s="10"/>
      <c r="T154" s="10"/>
      <c r="U154" s="1"/>
    </row>
    <row x14ac:dyDescent="0.25" r="155" customHeight="1" ht="19.5" hidden="1">
      <c r="A155" s="76"/>
      <c r="B155" s="77"/>
      <c r="C155" s="71"/>
      <c r="D155" s="71"/>
      <c r="E155" s="71"/>
      <c r="F155" s="71"/>
      <c r="G155" s="72"/>
      <c r="H155" s="73"/>
      <c r="I155" s="74"/>
      <c r="J155" s="74"/>
      <c r="K155" s="133">
        <f>(I155+J155)*10000</f>
      </c>
      <c r="L155" s="133">
        <f>K155*L153</f>
      </c>
      <c r="M155" s="34"/>
      <c r="N155" s="10"/>
      <c r="O155" s="1"/>
      <c r="P155" s="10"/>
      <c r="Q155" s="10"/>
      <c r="R155" s="10"/>
      <c r="S155" s="10"/>
      <c r="T155" s="10"/>
      <c r="U155" s="1"/>
    </row>
    <row x14ac:dyDescent="0.25" r="156" customHeight="1" ht="19.5" hidden="1">
      <c r="A156" s="76"/>
      <c r="B156" s="77"/>
      <c r="C156" s="71"/>
      <c r="D156" s="71"/>
      <c r="E156" s="71"/>
      <c r="F156" s="71"/>
      <c r="G156" s="72"/>
      <c r="H156" s="73"/>
      <c r="I156" s="74"/>
      <c r="J156" s="74"/>
      <c r="K156" s="133">
        <f>(I156+J156)*10000</f>
      </c>
      <c r="L156" s="133">
        <f>K156*L153</f>
      </c>
      <c r="M156" s="34"/>
      <c r="N156" s="10"/>
      <c r="O156" s="1"/>
      <c r="P156" s="10"/>
      <c r="Q156" s="10"/>
      <c r="R156" s="10"/>
      <c r="S156" s="10"/>
      <c r="T156" s="10"/>
      <c r="U156" s="1"/>
    </row>
    <row x14ac:dyDescent="0.25" r="157" customHeight="1" ht="19.5" hidden="1">
      <c r="A157" s="76"/>
      <c r="B157" s="77"/>
      <c r="C157" s="71"/>
      <c r="D157" s="71"/>
      <c r="E157" s="71"/>
      <c r="F157" s="71"/>
      <c r="G157" s="72"/>
      <c r="H157" s="73"/>
      <c r="I157" s="74"/>
      <c r="J157" s="74"/>
      <c r="K157" s="133">
        <f>(I157+J157)*10000</f>
      </c>
      <c r="L157" s="133">
        <f>K157*L153</f>
      </c>
      <c r="M157" s="34"/>
      <c r="N157" s="10"/>
      <c r="O157" s="1"/>
      <c r="P157" s="10"/>
      <c r="Q157" s="10"/>
      <c r="R157" s="10"/>
      <c r="S157" s="10"/>
      <c r="T157" s="10"/>
      <c r="U157" s="1"/>
    </row>
    <row x14ac:dyDescent="0.25" r="158" customHeight="1" ht="19.5" hidden="1">
      <c r="A158" s="76"/>
      <c r="B158" s="77"/>
      <c r="C158" s="71"/>
      <c r="D158" s="71"/>
      <c r="E158" s="71"/>
      <c r="F158" s="71"/>
      <c r="G158" s="73"/>
      <c r="H158" s="73"/>
      <c r="I158" s="74"/>
      <c r="J158" s="74"/>
      <c r="K158" s="133">
        <f>(I158+J158)*10000</f>
      </c>
      <c r="L158" s="133">
        <f>K158*L153</f>
      </c>
      <c r="M158" s="34"/>
      <c r="N158" s="10"/>
      <c r="O158" s="1"/>
      <c r="P158" s="10"/>
      <c r="Q158" s="10"/>
      <c r="R158" s="10"/>
      <c r="S158" s="10"/>
      <c r="T158" s="10"/>
      <c r="U158" s="1"/>
    </row>
    <row x14ac:dyDescent="0.25" r="159" customHeight="1" ht="19.5" hidden="1">
      <c r="A159" s="76"/>
      <c r="B159" s="77"/>
      <c r="C159" s="71"/>
      <c r="D159" s="71"/>
      <c r="E159" s="71"/>
      <c r="F159" s="71"/>
      <c r="G159" s="72"/>
      <c r="H159" s="73"/>
      <c r="I159" s="74"/>
      <c r="J159" s="74"/>
      <c r="K159" s="133">
        <f>(I159+J159)*10000</f>
      </c>
      <c r="L159" s="133">
        <f>K159*L153</f>
      </c>
      <c r="M159" s="34"/>
      <c r="N159" s="10"/>
      <c r="O159" s="1"/>
      <c r="P159" s="10"/>
      <c r="Q159" s="10"/>
      <c r="R159" s="10"/>
      <c r="S159" s="10"/>
      <c r="T159" s="10"/>
      <c r="U159" s="1"/>
    </row>
    <row x14ac:dyDescent="0.25" r="160" customHeight="1" ht="19.5" hidden="1">
      <c r="A160" s="76"/>
      <c r="B160" s="77"/>
      <c r="C160" s="71"/>
      <c r="D160" s="71"/>
      <c r="E160" s="71"/>
      <c r="F160" s="71"/>
      <c r="G160" s="73"/>
      <c r="H160" s="73"/>
      <c r="I160" s="74"/>
      <c r="J160" s="74"/>
      <c r="K160" s="133">
        <f>(I160+J160)*10000</f>
      </c>
      <c r="L160" s="133">
        <f>K160*L153</f>
      </c>
      <c r="M160" s="34"/>
      <c r="N160" s="10"/>
      <c r="O160" s="1"/>
      <c r="P160" s="10"/>
      <c r="Q160" s="10"/>
      <c r="R160" s="10"/>
      <c r="S160" s="10"/>
      <c r="T160" s="10"/>
      <c r="U160" s="1"/>
    </row>
    <row x14ac:dyDescent="0.25" r="161" customHeight="1" ht="19.5" hidden="1">
      <c r="A161" s="76"/>
      <c r="B161" s="77"/>
      <c r="C161" s="71"/>
      <c r="D161" s="75"/>
      <c r="E161" s="71"/>
      <c r="F161" s="71"/>
      <c r="G161" s="73"/>
      <c r="H161" s="73"/>
      <c r="I161" s="74"/>
      <c r="J161" s="74"/>
      <c r="K161" s="133">
        <f>(I161+J161)*10000</f>
      </c>
      <c r="L161" s="133">
        <f>K161*L153</f>
      </c>
      <c r="M161" s="34"/>
      <c r="N161" s="10"/>
      <c r="O161" s="1"/>
      <c r="P161" s="10"/>
      <c r="Q161" s="10"/>
      <c r="R161" s="10"/>
      <c r="S161" s="10"/>
      <c r="T161" s="10"/>
      <c r="U161" s="1"/>
    </row>
    <row x14ac:dyDescent="0.25" r="162" customHeight="1" ht="19.5" hidden="1">
      <c r="A162" s="76"/>
      <c r="B162" s="77"/>
      <c r="C162" s="71"/>
      <c r="D162" s="75"/>
      <c r="E162" s="71"/>
      <c r="F162" s="71"/>
      <c r="G162" s="73"/>
      <c r="H162" s="73"/>
      <c r="I162" s="74"/>
      <c r="J162" s="74"/>
      <c r="K162" s="133">
        <f>(I162+J162)*10000</f>
      </c>
      <c r="L162" s="133">
        <f>K162*L153</f>
      </c>
      <c r="M162" s="47"/>
      <c r="N162" s="17"/>
      <c r="O162" s="1"/>
      <c r="P162" s="10"/>
      <c r="Q162" s="10"/>
      <c r="R162" s="10"/>
      <c r="S162" s="10"/>
      <c r="T162" s="10"/>
      <c r="U162" s="1"/>
    </row>
    <row x14ac:dyDescent="0.25" r="163" customHeight="1" ht="19.5">
      <c r="A163" s="76"/>
      <c r="B163" s="77"/>
      <c r="C163" s="78" t="s">
        <v>47</v>
      </c>
      <c r="D163" s="79"/>
      <c r="E163" s="79"/>
      <c r="F163" s="79"/>
      <c r="G163" s="79"/>
      <c r="H163" s="79"/>
      <c r="I163" s="79"/>
      <c r="J163" s="80"/>
      <c r="K163" s="122" t="s">
        <v>5</v>
      </c>
      <c r="L163" s="23">
        <v>0.5</v>
      </c>
      <c r="M163" s="24">
        <f>SUM(K165:K172)</f>
      </c>
      <c r="N163" s="25">
        <f>SUM(L165:L172)</f>
      </c>
      <c r="O163" s="19"/>
      <c r="P163" s="10"/>
      <c r="Q163" s="10"/>
      <c r="R163" s="10"/>
      <c r="S163" s="10"/>
      <c r="T163" s="10"/>
      <c r="U163" s="1"/>
    </row>
    <row x14ac:dyDescent="0.25" r="164" customHeight="1" ht="19.5">
      <c r="A164" s="76"/>
      <c r="B164" s="77"/>
      <c r="C164" s="136" t="s">
        <v>7</v>
      </c>
      <c r="D164" s="137"/>
      <c r="E164" s="27" t="s">
        <v>8</v>
      </c>
      <c r="F164" s="27" t="s">
        <v>9</v>
      </c>
      <c r="G164" s="27" t="s">
        <v>10</v>
      </c>
      <c r="H164" s="27" t="s">
        <v>11</v>
      </c>
      <c r="I164" s="27" t="s">
        <v>12</v>
      </c>
      <c r="J164" s="27" t="s">
        <v>13</v>
      </c>
      <c r="K164" s="28" t="s">
        <v>14</v>
      </c>
      <c r="L164" s="28" t="s">
        <v>15</v>
      </c>
      <c r="M164" s="138"/>
      <c r="N164" s="139"/>
      <c r="O164" s="1"/>
      <c r="P164" s="10"/>
      <c r="Q164" s="10"/>
      <c r="R164" s="10"/>
      <c r="S164" s="10"/>
      <c r="T164" s="10"/>
      <c r="U164" s="1"/>
    </row>
    <row x14ac:dyDescent="0.25" r="165" customHeight="1" ht="19.5">
      <c r="A165" s="76"/>
      <c r="B165" s="77"/>
      <c r="C165" s="71"/>
      <c r="D165" s="71"/>
      <c r="E165" s="71"/>
      <c r="F165" s="71"/>
      <c r="G165" s="72"/>
      <c r="H165" s="73"/>
      <c r="I165" s="74"/>
      <c r="J165" s="74"/>
      <c r="K165" s="36">
        <f>(I165+J165)*10000</f>
      </c>
      <c r="L165" s="36">
        <f>K165*L163</f>
      </c>
      <c r="M165" s="34"/>
      <c r="N165" s="10"/>
      <c r="O165" s="1"/>
      <c r="P165" s="10"/>
      <c r="Q165" s="10"/>
      <c r="R165" s="10"/>
      <c r="S165" s="10"/>
      <c r="T165" s="10"/>
      <c r="U165" s="1"/>
    </row>
    <row x14ac:dyDescent="0.25" r="166" customHeight="1" ht="19.5">
      <c r="A166" s="76"/>
      <c r="B166" s="77"/>
      <c r="C166" s="71"/>
      <c r="D166" s="71"/>
      <c r="E166" s="71"/>
      <c r="F166" s="71"/>
      <c r="G166" s="72"/>
      <c r="H166" s="73"/>
      <c r="I166" s="74"/>
      <c r="J166" s="74"/>
      <c r="K166" s="36">
        <f>(I166+J166)*10000</f>
      </c>
      <c r="L166" s="36">
        <f>K166*L163</f>
      </c>
      <c r="M166" s="34"/>
      <c r="N166" s="10"/>
      <c r="O166" s="1"/>
      <c r="P166" s="10"/>
      <c r="Q166" s="10"/>
      <c r="R166" s="10"/>
      <c r="S166" s="10"/>
      <c r="T166" s="10"/>
      <c r="U166" s="1"/>
    </row>
    <row x14ac:dyDescent="0.25" r="167" customHeight="1" ht="19.5">
      <c r="A167" s="76"/>
      <c r="B167" s="77"/>
      <c r="C167" s="71"/>
      <c r="D167" s="71"/>
      <c r="E167" s="71"/>
      <c r="F167" s="140"/>
      <c r="G167" s="141"/>
      <c r="H167" s="141"/>
      <c r="I167" s="74"/>
      <c r="J167" s="74"/>
      <c r="K167" s="36">
        <f>(I167+J167)*10000</f>
      </c>
      <c r="L167" s="36">
        <f>K167*L163</f>
      </c>
      <c r="M167" s="34"/>
      <c r="N167" s="10"/>
      <c r="O167" s="1"/>
      <c r="P167" s="10"/>
      <c r="Q167" s="10"/>
      <c r="R167" s="10"/>
      <c r="S167" s="10"/>
      <c r="T167" s="10"/>
      <c r="U167" s="1"/>
    </row>
    <row x14ac:dyDescent="0.25" r="168" customHeight="1" ht="19.5">
      <c r="A168" s="76"/>
      <c r="B168" s="77"/>
      <c r="C168" s="71"/>
      <c r="D168" s="71"/>
      <c r="E168" s="71"/>
      <c r="F168" s="71"/>
      <c r="G168" s="73"/>
      <c r="H168" s="73"/>
      <c r="I168" s="74"/>
      <c r="J168" s="74"/>
      <c r="K168" s="36">
        <f>(I168+J168)*10000</f>
      </c>
      <c r="L168" s="36">
        <f>K168*L163</f>
      </c>
      <c r="M168" s="34"/>
      <c r="N168" s="10"/>
      <c r="O168" s="1"/>
      <c r="P168" s="10"/>
      <c r="Q168" s="10"/>
      <c r="R168" s="10"/>
      <c r="S168" s="10"/>
      <c r="T168" s="10"/>
      <c r="U168" s="1"/>
    </row>
    <row x14ac:dyDescent="0.25" r="169" customHeight="1" ht="19.5">
      <c r="A169" s="76"/>
      <c r="B169" s="77"/>
      <c r="C169" s="71"/>
      <c r="D169" s="71"/>
      <c r="E169" s="71"/>
      <c r="F169" s="71"/>
      <c r="G169" s="72"/>
      <c r="H169" s="73"/>
      <c r="I169" s="74"/>
      <c r="J169" s="74"/>
      <c r="K169" s="36">
        <f>(I169+J169)*10000</f>
      </c>
      <c r="L169" s="36">
        <f>K169*L163</f>
      </c>
      <c r="M169" s="34"/>
      <c r="N169" s="10"/>
      <c r="O169" s="1"/>
      <c r="P169" s="10"/>
      <c r="Q169" s="10"/>
      <c r="R169" s="10"/>
      <c r="S169" s="10"/>
      <c r="T169" s="10"/>
      <c r="U169" s="1"/>
    </row>
    <row x14ac:dyDescent="0.25" r="170" customHeight="1" ht="19.5">
      <c r="A170" s="76"/>
      <c r="B170" s="77"/>
      <c r="C170" s="71"/>
      <c r="D170" s="71"/>
      <c r="E170" s="71"/>
      <c r="F170" s="71"/>
      <c r="G170" s="73"/>
      <c r="H170" s="73"/>
      <c r="I170" s="74"/>
      <c r="J170" s="74"/>
      <c r="K170" s="36">
        <f>(I170+J170)*10000</f>
      </c>
      <c r="L170" s="36">
        <f>K170*L163</f>
      </c>
      <c r="M170" s="34"/>
      <c r="N170" s="10"/>
      <c r="O170" s="1"/>
      <c r="P170" s="10"/>
      <c r="Q170" s="10"/>
      <c r="R170" s="10"/>
      <c r="S170" s="10"/>
      <c r="T170" s="10"/>
      <c r="U170" s="1"/>
    </row>
    <row x14ac:dyDescent="0.25" r="171" customHeight="1" ht="19.5">
      <c r="A171" s="76"/>
      <c r="B171" s="77"/>
      <c r="C171" s="71"/>
      <c r="D171" s="75"/>
      <c r="E171" s="71"/>
      <c r="F171" s="71"/>
      <c r="G171" s="73"/>
      <c r="H171" s="73"/>
      <c r="I171" s="74"/>
      <c r="J171" s="74"/>
      <c r="K171" s="36">
        <f>(I171+J171)*10000</f>
      </c>
      <c r="L171" s="36">
        <f>K171*L163</f>
      </c>
      <c r="M171" s="34"/>
      <c r="N171" s="10"/>
      <c r="O171" s="1"/>
      <c r="P171" s="10"/>
      <c r="Q171" s="10"/>
      <c r="R171" s="10"/>
      <c r="S171" s="10"/>
      <c r="T171" s="10"/>
      <c r="U171" s="1"/>
    </row>
    <row x14ac:dyDescent="0.25" r="172" customHeight="1" ht="19.5">
      <c r="A172" s="76"/>
      <c r="B172" s="77"/>
      <c r="C172" s="71"/>
      <c r="D172" s="75"/>
      <c r="E172" s="71"/>
      <c r="F172" s="71"/>
      <c r="G172" s="73"/>
      <c r="H172" s="73"/>
      <c r="I172" s="74"/>
      <c r="J172" s="74"/>
      <c r="K172" s="36">
        <f>(I172+J172)*10000</f>
      </c>
      <c r="L172" s="36">
        <f>K172*L163</f>
      </c>
      <c r="M172" s="34"/>
      <c r="N172" s="10"/>
      <c r="O172" s="1"/>
      <c r="P172" s="10"/>
      <c r="Q172" s="10"/>
      <c r="R172" s="10"/>
      <c r="S172" s="10"/>
      <c r="T172" s="10"/>
      <c r="U172" s="1"/>
    </row>
    <row x14ac:dyDescent="0.25" r="173" customHeight="1" ht="19.5">
      <c r="A173" s="1"/>
      <c r="B173" s="10"/>
      <c r="C173" s="142"/>
      <c r="D173" s="142"/>
      <c r="E173" s="142"/>
      <c r="F173" s="142"/>
      <c r="G173" s="143"/>
      <c r="H173" s="143"/>
      <c r="I173" s="18"/>
      <c r="J173" s="18"/>
      <c r="K173" s="18"/>
      <c r="L173" s="18"/>
      <c r="M173" s="10"/>
      <c r="N173" s="10"/>
      <c r="O173" s="1"/>
      <c r="P173" s="10"/>
      <c r="Q173" s="10"/>
      <c r="R173" s="10"/>
      <c r="S173" s="10"/>
      <c r="T173" s="10"/>
      <c r="U173" s="1"/>
    </row>
  </sheetData>
  <mergeCells count="59">
    <mergeCell ref="C1:J1"/>
    <mergeCell ref="P1:T1"/>
    <mergeCell ref="C3:J3"/>
    <mergeCell ref="C4:D4"/>
    <mergeCell ref="M4:N4"/>
    <mergeCell ref="P4:P5"/>
    <mergeCell ref="Q4:R5"/>
    <mergeCell ref="P7:Q7"/>
    <mergeCell ref="R7:T7"/>
    <mergeCell ref="P10:Q10"/>
    <mergeCell ref="R10:T10"/>
    <mergeCell ref="C13:J13"/>
    <mergeCell ref="P13:T13"/>
    <mergeCell ref="C14:D14"/>
    <mergeCell ref="M14:N14"/>
    <mergeCell ref="P15:P16"/>
    <mergeCell ref="Q15:R16"/>
    <mergeCell ref="P18:Q18"/>
    <mergeCell ref="R18:T18"/>
    <mergeCell ref="P21:Q21"/>
    <mergeCell ref="R21:T21"/>
    <mergeCell ref="C23:J23"/>
    <mergeCell ref="C24:D24"/>
    <mergeCell ref="M24:N24"/>
    <mergeCell ref="C33:J33"/>
    <mergeCell ref="C34:D34"/>
    <mergeCell ref="M34:N34"/>
    <mergeCell ref="C43:J43"/>
    <mergeCell ref="C44:D44"/>
    <mergeCell ref="C53:J53"/>
    <mergeCell ref="C54:D54"/>
    <mergeCell ref="M54:N54"/>
    <mergeCell ref="C63:J63"/>
    <mergeCell ref="C64:D64"/>
    <mergeCell ref="C73:J73"/>
    <mergeCell ref="C74:D74"/>
    <mergeCell ref="C83:J83"/>
    <mergeCell ref="C84:D84"/>
    <mergeCell ref="C93:J93"/>
    <mergeCell ref="C94:D94"/>
    <mergeCell ref="M94:N94"/>
    <mergeCell ref="C103:J103"/>
    <mergeCell ref="C104:D104"/>
    <mergeCell ref="C113:J113"/>
    <mergeCell ref="C114:D114"/>
    <mergeCell ref="C123:J123"/>
    <mergeCell ref="C124:D124"/>
    <mergeCell ref="M124:N124"/>
    <mergeCell ref="C133:J133"/>
    <mergeCell ref="C134:D134"/>
    <mergeCell ref="M134:N134"/>
    <mergeCell ref="C143:J143"/>
    <mergeCell ref="C144:D144"/>
    <mergeCell ref="C153:J153"/>
    <mergeCell ref="C154:D154"/>
    <mergeCell ref="M154:N154"/>
    <mergeCell ref="C163:J163"/>
    <mergeCell ref="C164:D164"/>
    <mergeCell ref="M164:N16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7" width="14.147857142857141" customWidth="1" bestFit="1"/>
    <col min="2" max="2" style="8" width="14.147857142857141" customWidth="1" bestFit="1"/>
    <col min="3" max="3" style="9" width="14.147857142857141" customWidth="1" bestFit="1"/>
  </cols>
  <sheetData>
    <row x14ac:dyDescent="0.25" r="1" customHeight="1" ht="19.5">
      <c r="A1" s="1"/>
      <c r="B1" s="2"/>
      <c r="C1" s="3"/>
    </row>
    <row x14ac:dyDescent="0.25" r="2" customHeight="1" ht="19.5">
      <c r="A2" s="1"/>
      <c r="B2" s="4" t="s">
        <v>0</v>
      </c>
      <c r="C2" s="3"/>
    </row>
    <row x14ac:dyDescent="0.25" r="3" customHeight="1" ht="19.5">
      <c r="A3" s="1"/>
      <c r="B3" s="5" t="s">
        <v>1</v>
      </c>
      <c r="C3" s="6">
        <v>2025</v>
      </c>
    </row>
    <row x14ac:dyDescent="0.25" r="4" customHeight="1" ht="19.5">
      <c r="A4" s="1"/>
      <c r="B4" s="5" t="s">
        <v>2</v>
      </c>
      <c r="C4" s="6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34</vt:i4>
      </vt:variant>
    </vt:vector>
  </HeadingPairs>
  <TitlesOfParts>
    <vt:vector baseType="lpstr" size="34">
      <vt:lpstr>1</vt:lpstr>
      <vt:lpstr>2</vt:lpstr>
      <vt:lpstr>3</vt:lpstr>
      <vt:lpstr>4</vt:lpstr>
      <vt:lpstr>5</vt:lpstr>
      <vt:lpstr>6</vt:lpstr>
      <vt:lpstr>8</vt:lpstr>
      <vt:lpstr>7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19</vt:lpstr>
      <vt:lpstr>18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기본</vt:lpstr>
      <vt:lpstr>세척기사</vt:lpstr>
      <vt:lpstr>일요일</vt:lpstr>
      <vt:lpstr>참조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2025-11-10T04:04:00.783Z</dcterms:created>
  <dcterms:modified xsi:type="dcterms:W3CDTF">2025-11-10T04:04:00.783Z</dcterms:modified>
</cp:coreProperties>
</file>